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\2022_01\Ingenieria_de_requisitos\Foro 2\Activity1\"/>
    </mc:Choice>
  </mc:AlternateContent>
  <xr:revisionPtr revIDLastSave="0" documentId="13_ncr:1_{642C7A89-ADED-4E37-B14A-277D4A8EE0D9}" xr6:coauthVersionLast="47" xr6:coauthVersionMax="47" xr10:uidLastSave="{00000000-0000-0000-0000-000000000000}"/>
  <bookViews>
    <workbookView xWindow="-120" yWindow="-120" windowWidth="29040" windowHeight="15840" xr2:uid="{A58E7035-3D45-4ED5-9721-B903E8AE82CD}"/>
  </bookViews>
  <sheets>
    <sheet name="POINTS" sheetId="6" r:id="rId1"/>
    <sheet name="BRIDGE 1" sheetId="1" r:id="rId2"/>
    <sheet name="BRIDGE 2" sheetId="2" r:id="rId3"/>
    <sheet name="BRIDGE 3" sheetId="3" r:id="rId4"/>
    <sheet name="BRIDGE 4" sheetId="4" r:id="rId5"/>
    <sheet name="ANSWER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8" i="2" l="1"/>
  <c r="Y28" i="4"/>
  <c r="AI26" i="4"/>
  <c r="Z26" i="4"/>
  <c r="X28" i="4"/>
  <c r="AJ26" i="4"/>
  <c r="Y26" i="4"/>
  <c r="T28" i="4"/>
  <c r="O28" i="4"/>
  <c r="R26" i="4"/>
  <c r="I26" i="4"/>
  <c r="F26" i="4"/>
  <c r="L26" i="4"/>
  <c r="AB26" i="1"/>
  <c r="H26" i="4"/>
  <c r="X26" i="1"/>
  <c r="AG26" i="1"/>
  <c r="AF26" i="4"/>
  <c r="AC26" i="4"/>
  <c r="AA26" i="4"/>
  <c r="U26" i="4"/>
  <c r="Q26" i="4"/>
  <c r="F26" i="1"/>
  <c r="AJ26" i="1"/>
  <c r="X26" i="4"/>
  <c r="P26" i="4"/>
  <c r="Q26" i="1"/>
  <c r="S28" i="4"/>
  <c r="K26" i="1"/>
  <c r="G26" i="1"/>
  <c r="W28" i="4"/>
  <c r="T26" i="4"/>
  <c r="O26" i="4"/>
  <c r="B26" i="1"/>
  <c r="U28" i="4"/>
  <c r="S26" i="4"/>
  <c r="P28" i="4"/>
  <c r="S28" i="1"/>
  <c r="L26" i="1"/>
  <c r="M26" i="1"/>
  <c r="V28" i="4"/>
  <c r="J26" i="4"/>
  <c r="I28" i="1"/>
  <c r="AA28" i="4"/>
  <c r="N28" i="4"/>
  <c r="AG26" i="4"/>
  <c r="AE26" i="4"/>
  <c r="M26" i="4"/>
  <c r="J28" i="1"/>
  <c r="Y28" i="1"/>
  <c r="Z28" i="4"/>
  <c r="Q28" i="4"/>
  <c r="AD26" i="4"/>
  <c r="V26" i="4"/>
  <c r="K26" i="4"/>
  <c r="G26" i="4"/>
  <c r="E26" i="4"/>
  <c r="W26" i="1"/>
  <c r="D26" i="4"/>
  <c r="C26" i="1"/>
  <c r="U28" i="3"/>
  <c r="AH26" i="3"/>
  <c r="R28" i="3"/>
  <c r="I26" i="1"/>
  <c r="N28" i="3"/>
  <c r="R28" i="1"/>
  <c r="X28" i="3"/>
  <c r="W28" i="3"/>
  <c r="Y26" i="3"/>
  <c r="T26" i="3"/>
  <c r="T28" i="1"/>
  <c r="Z26" i="3"/>
  <c r="W26" i="3"/>
  <c r="Y28" i="3"/>
  <c r="S26" i="3"/>
  <c r="O28" i="3"/>
  <c r="T28" i="2"/>
  <c r="V28" i="3"/>
  <c r="P28" i="3"/>
  <c r="D26" i="3"/>
  <c r="M28" i="3"/>
  <c r="V26" i="3"/>
  <c r="M26" i="3"/>
  <c r="Q28" i="3"/>
  <c r="AE26" i="3"/>
  <c r="E26" i="3"/>
  <c r="X26" i="3"/>
  <c r="H26" i="3"/>
  <c r="AB26" i="3"/>
  <c r="N26" i="3"/>
  <c r="AG26" i="3"/>
  <c r="AF26" i="3"/>
  <c r="U26" i="3"/>
  <c r="Q26" i="3"/>
  <c r="T28" i="3"/>
  <c r="AC26" i="3"/>
  <c r="AA26" i="3"/>
  <c r="I26" i="3"/>
  <c r="P26" i="3"/>
  <c r="O26" i="3"/>
  <c r="L26" i="3"/>
  <c r="K26" i="3"/>
  <c r="J26" i="3"/>
  <c r="G26" i="3"/>
  <c r="F26" i="3"/>
  <c r="AC26" i="2"/>
  <c r="Q26" i="2"/>
  <c r="X28" i="2"/>
  <c r="AL26" i="2"/>
  <c r="U26" i="2"/>
  <c r="AI26" i="2"/>
  <c r="T26" i="2"/>
  <c r="D26" i="2"/>
  <c r="W26" i="2"/>
  <c r="B26" i="2"/>
  <c r="AG26" i="2"/>
  <c r="AB26" i="2"/>
  <c r="Y26" i="2"/>
  <c r="V26" i="1"/>
  <c r="K26" i="2"/>
  <c r="V28" i="2"/>
  <c r="P28" i="2"/>
  <c r="J28" i="2"/>
  <c r="AA26" i="2"/>
  <c r="R26" i="2"/>
  <c r="L26" i="2"/>
  <c r="H26" i="2"/>
  <c r="Z28" i="1"/>
  <c r="AA28" i="2"/>
  <c r="R28" i="2"/>
  <c r="M28" i="2"/>
  <c r="O26" i="2"/>
  <c r="K28" i="2"/>
  <c r="M26" i="2"/>
  <c r="J26" i="2"/>
  <c r="AB28" i="1"/>
  <c r="Z28" i="2"/>
  <c r="N28" i="2"/>
  <c r="G26" i="2"/>
  <c r="Y28" i="2"/>
  <c r="W28" i="2"/>
  <c r="U28" i="2"/>
  <c r="AE26" i="2"/>
  <c r="Z26" i="2"/>
  <c r="S26" i="2"/>
  <c r="F26" i="2"/>
  <c r="X26" i="2"/>
  <c r="N26" i="2"/>
  <c r="I26" i="2"/>
  <c r="E26" i="2"/>
  <c r="AF28" i="1"/>
  <c r="L28" i="2"/>
  <c r="AK26" i="2"/>
  <c r="AF26" i="2"/>
  <c r="C26" i="2"/>
  <c r="H26" i="1"/>
  <c r="P26" i="1"/>
  <c r="AJ26" i="2"/>
  <c r="L28" i="1"/>
  <c r="AG28" i="1"/>
  <c r="AE28" i="1"/>
  <c r="AD28" i="1"/>
  <c r="AC28" i="1"/>
  <c r="AA28" i="1"/>
  <c r="W28" i="1"/>
  <c r="V28" i="1"/>
  <c r="U28" i="1"/>
  <c r="Q28" i="1"/>
  <c r="O28" i="1"/>
  <c r="M28" i="1"/>
  <c r="H28" i="1"/>
  <c r="G28" i="1"/>
  <c r="AL26" i="1"/>
  <c r="AK26" i="1"/>
  <c r="AI26" i="1"/>
  <c r="AH26" i="1"/>
  <c r="AF26" i="1"/>
  <c r="AE26" i="1"/>
  <c r="AC26" i="1"/>
  <c r="AA26" i="1"/>
  <c r="Z26" i="1"/>
  <c r="Y26" i="1"/>
  <c r="T26" i="1"/>
  <c r="S26" i="1"/>
  <c r="R26" i="1"/>
  <c r="O26" i="1"/>
  <c r="N26" i="1"/>
  <c r="E26" i="1"/>
  <c r="D26" i="1"/>
</calcChain>
</file>

<file path=xl/sharedStrings.xml><?xml version="1.0" encoding="utf-8"?>
<sst xmlns="http://schemas.openxmlformats.org/spreadsheetml/2006/main" count="145" uniqueCount="58">
  <si>
    <t>What the software system must do to address the opportunity and satisfy the stakeholders.</t>
  </si>
  <si>
    <t>The people, groups, or organizations that affect or are affected by a software system.</t>
  </si>
  <si>
    <t>To detect, locate and correct faults in a computer program. Techniques include use of breakpoints, desk checking, dumbs, inspection, reversible execution, single-step operation, and traces.</t>
  </si>
  <si>
    <t>Restrictions, policies, or regulatory requirements the team must comply with.</t>
  </si>
  <si>
    <t>CONSTRAINTS</t>
  </si>
  <si>
    <t>Human action that results in software containing a fault. Examples include omission or mis interpretation of user requirements in a software specification, incorrect translation or omission of a requirement in the design specification.</t>
  </si>
  <si>
    <t>This competency enables a person to inspire and motivate a group of people to achieve a successful conclusion to their work and to meet their objectives.</t>
  </si>
  <si>
    <t xml:space="preserve"> Is the composition of a Kernel and a set of Practices to fulfill a specific purpose</t>
  </si>
  <si>
    <t>Is a description of a structure in a practice.</t>
  </si>
  <si>
    <t>A measure of an executable software unit's or system's functionality.</t>
  </si>
  <si>
    <t>Physical equipment used to process, store, or transmit computer programs or data.</t>
  </si>
  <si>
    <t xml:space="preserve"> Is a software-defined data center (SDDC) company headquartered in Bloomfield Township, Michigan.</t>
  </si>
  <si>
    <t>A quantity or data item whose value can change.</t>
  </si>
  <si>
    <t>The set of circumstances that makes it appropriate to develop or change a software system.</t>
  </si>
  <si>
    <t>Is a proposition about an instance of a language element which is true if the instance is used in a language construct as intended by the specification.</t>
  </si>
  <si>
    <t>The representation of a state or an event by means of a point on a diagram</t>
  </si>
  <si>
    <t>COMPLETE SENTENCE</t>
  </si>
  <si>
    <t>ADOPTING CONTINUOUS DELIVERY RELIEVES GAPS IN A COMPANY STRUCTURE</t>
  </si>
  <si>
    <t>INVARIANT</t>
  </si>
  <si>
    <t>ALPHA</t>
  </si>
  <si>
    <t>TRANSITION</t>
  </si>
  <si>
    <t>DEBUG</t>
  </si>
  <si>
    <t>OPPORTUNITY</t>
  </si>
  <si>
    <t>PATTERN</t>
  </si>
  <si>
    <t>NODE</t>
  </si>
  <si>
    <t>VARIABLE</t>
  </si>
  <si>
    <t>YOTTABYTE</t>
  </si>
  <si>
    <t>USABILITY</t>
  </si>
  <si>
    <t>GENERALITY</t>
  </si>
  <si>
    <t>STAKEHOLDERS</t>
  </si>
  <si>
    <t>ERROR</t>
  </si>
  <si>
    <t>LEADERSHIP</t>
  </si>
  <si>
    <t>REQUIREMENTS</t>
  </si>
  <si>
    <t>METHOD</t>
  </si>
  <si>
    <t>INFRASTRUCTURE STAFF CREATES AND FINE TUNES THE DATABASE</t>
  </si>
  <si>
    <t>A manifestation of an error in software.</t>
  </si>
  <si>
    <t>FAULT</t>
  </si>
  <si>
    <t>An error, flaw, or fault in a Software System that causes the system to fail to perform as required</t>
  </si>
  <si>
    <t>BUG</t>
  </si>
  <si>
    <t>Physical equipment used in data processing, as opposed to computer programs, procedures, rules, and associated documentation.</t>
  </si>
  <si>
    <t>HARDWARE</t>
  </si>
  <si>
    <t>INFRASTRUCTURE SPECIALISTS NEED CODING SKILLS</t>
  </si>
  <si>
    <t>Is a set of elements used to form a common ground for describing a software engineering endeavor.</t>
  </si>
  <si>
    <t>KERNEL</t>
  </si>
  <si>
    <t>DEVELOPERS AUTOMATE UNIT TESTS IN SOME COMPANIES</t>
  </si>
  <si>
    <t>BRIDGE 1</t>
  </si>
  <si>
    <t>BRIDGE 2</t>
  </si>
  <si>
    <t>BRIDGE 3</t>
  </si>
  <si>
    <t>BRIDGE 4</t>
  </si>
  <si>
    <t>TEAM</t>
  </si>
  <si>
    <t>COMPLETE SENTENCES</t>
  </si>
  <si>
    <t>DEFINITIONS</t>
  </si>
  <si>
    <t>Is a directed connection from one state in a state machine to a state in that state machine.</t>
  </si>
  <si>
    <t>An essential element of the software engineering endeavor that is relevant to an assessment of the progress and health of the endeavor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</si>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</sst>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/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13" xfId="0" applyFill="1" applyBorder="1"/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0" xfId="0" applyAlignment="1"/>
    <xf numFmtId="0" fontId="1" fillId="2" borderId="13" xfId="0" applyFont="1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6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167302</xdr:colOff>
      <xdr:row>2</xdr:row>
      <xdr:rowOff>20291</xdr:rowOff>
    </xdr:from>
    <xdr:to>
      <xdr:col>37</xdr:col>
      <xdr:colOff>142874</xdr:colOff>
      <xdr:row>22</xdr:row>
      <xdr:rowOff>63982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558619-5094-4409-9225-1B3CC6DEC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02" y="410816"/>
          <a:ext cx="6671647" cy="4034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2</xdr:row>
      <xdr:rowOff>13249</xdr:rowOff>
    </xdr:from>
    <xdr:to>
      <xdr:col>38</xdr:col>
      <xdr:colOff>66675</xdr:colOff>
      <xdr:row>22</xdr:row>
      <xdr:rowOff>97654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8586DA-BC3F-473B-AE6F-23FEAA528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03774"/>
          <a:ext cx="6800850" cy="4075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2</xdr:row>
      <xdr:rowOff>28574</xdr:rowOff>
    </xdr:from>
    <xdr:to>
      <xdr:col>38</xdr:col>
      <xdr:colOff>152399</xdr:colOff>
      <xdr:row>22</xdr:row>
      <xdr:rowOff>182317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2E2496-5FEA-4F6C-B84D-77A8EF94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419099"/>
          <a:ext cx="6867525" cy="41447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1</xdr:row>
      <xdr:rowOff>123824</xdr:rowOff>
    </xdr:from>
    <xdr:to>
      <xdr:col>38</xdr:col>
      <xdr:colOff>47625</xdr:colOff>
      <xdr:row>22</xdr:row>
      <xdr:rowOff>137920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52D497-FB5B-4CBC-A393-AC30A588B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314324"/>
          <a:ext cx="6819901" cy="4205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127C-574D-4EF6-9117-F2703D012E1F}">
  <dimension ref="A1:C13"/>
  <sheetViews>
    <sheetView showGridLines="0" showRowColHeaders="0" tabSelected="1" zoomScale="196" zoomScaleNormal="196" workbookViewId="0">
      <selection activeCell="B2" sqref="B2"/>
    </sheetView>
  </sheetViews>
  <sheetFormatPr baseColWidth="10" defaultRowHeight="15" x14ac:dyDescent="0.25"/>
  <cols>
    <col min="1" max="1" width="7.140625" customWidth="1"/>
    <col min="2" max="2" width="23.28515625" customWidth="1"/>
    <col min="3" max="3" width="13.5703125" customWidth="1"/>
  </cols>
  <sheetData>
    <row r="1" spans="1:3" x14ac:dyDescent="0.25">
      <c r="A1" s="19" t="s">
        <v>49</v>
      </c>
      <c r="B1" s="19" t="s">
        <v>50</v>
      </c>
      <c r="C1" s="19" t="s">
        <v>51</v>
      </c>
    </row>
    <row r="2" spans="1:3" x14ac:dyDescent="0.25">
      <c r="A2" s="18">
        <v>1</v>
      </c>
      <c r="B2" s="21"/>
      <c r="C2" s="21"/>
    </row>
    <row r="3" spans="1:3" x14ac:dyDescent="0.25">
      <c r="A3" s="18">
        <v>2</v>
      </c>
      <c r="B3" s="21"/>
      <c r="C3" s="21"/>
    </row>
    <row r="4" spans="1:3" x14ac:dyDescent="0.25">
      <c r="A4" s="18">
        <v>3</v>
      </c>
      <c r="B4" s="21"/>
      <c r="C4" s="21"/>
    </row>
    <row r="5" spans="1:3" x14ac:dyDescent="0.25">
      <c r="A5" s="18">
        <v>4</v>
      </c>
      <c r="B5" s="21"/>
      <c r="C5" s="21"/>
    </row>
    <row r="6" spans="1:3" x14ac:dyDescent="0.25">
      <c r="A6" s="18">
        <v>5</v>
      </c>
      <c r="B6" s="21"/>
      <c r="C6" s="21"/>
    </row>
    <row r="7" spans="1:3" x14ac:dyDescent="0.25">
      <c r="A7" s="18">
        <v>6</v>
      </c>
      <c r="B7" s="21"/>
      <c r="C7" s="21"/>
    </row>
    <row r="8" spans="1:3" x14ac:dyDescent="0.25">
      <c r="A8" s="18">
        <v>7</v>
      </c>
      <c r="B8" s="21"/>
      <c r="C8" s="21"/>
    </row>
    <row r="9" spans="1:3" x14ac:dyDescent="0.25">
      <c r="A9" s="18">
        <v>8</v>
      </c>
      <c r="B9" s="21"/>
      <c r="C9" s="21"/>
    </row>
    <row r="10" spans="1:3" x14ac:dyDescent="0.25">
      <c r="A10" s="18">
        <v>9</v>
      </c>
      <c r="B10" s="21"/>
      <c r="C10" s="21"/>
    </row>
    <row r="11" spans="1:3" x14ac:dyDescent="0.25">
      <c r="A11" s="18">
        <v>10</v>
      </c>
      <c r="B11" s="21"/>
      <c r="C11" s="21"/>
    </row>
    <row r="12" spans="1:3" x14ac:dyDescent="0.25">
      <c r="A12" s="18">
        <v>11</v>
      </c>
      <c r="B12" s="21"/>
      <c r="C12" s="21"/>
    </row>
    <row r="13" spans="1:3" x14ac:dyDescent="0.25">
      <c r="A13" s="18">
        <v>12</v>
      </c>
      <c r="B13" s="21"/>
      <c r="C13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82B9-6E20-446D-9A39-B3B2BCC0C734}">
  <dimension ref="B2:AU33"/>
  <sheetViews>
    <sheetView showGridLines="0" showRowColHeaders="0" zoomScale="95" zoomScaleNormal="95" workbookViewId="0">
      <selection activeCell="AT31" sqref="AT31"/>
    </sheetView>
  </sheetViews>
  <sheetFormatPr baseColWidth="10" defaultRowHeight="15" x14ac:dyDescent="0.25"/>
  <cols>
    <col min="1" max="41" width="2.7109375" customWidth="1"/>
    <col min="42" max="42" width="62.85546875" customWidth="1"/>
    <col min="43" max="43" width="18.7109375" customWidth="1"/>
    <col min="44" max="44" width="6" customWidth="1"/>
    <col min="45" max="45" width="3.28515625" customWidth="1"/>
    <col min="46" max="46" width="56.42578125" customWidth="1"/>
    <col min="47" max="47" width="18.85546875" customWidth="1"/>
  </cols>
  <sheetData>
    <row r="2" spans="41:47" ht="15.75" thickBot="1" x14ac:dyDescent="0.3">
      <c r="AO2" s="2"/>
      <c r="AP2" s="2"/>
      <c r="AQ2" s="2"/>
      <c r="AR2" s="2"/>
    </row>
    <row r="3" spans="41:47" ht="15.75" thickBot="1" x14ac:dyDescent="0.3">
      <c r="AP3" s="26" t="s">
        <v>52</v>
      </c>
      <c r="AS3" s="1"/>
      <c r="AT3" s="26" t="s">
        <v>7</v>
      </c>
    </row>
    <row r="4" spans="41:47" ht="15.75" thickBot="1" x14ac:dyDescent="0.3">
      <c r="AO4" s="12">
        <v>1</v>
      </c>
      <c r="AP4" s="33"/>
      <c r="AQ4" s="14"/>
      <c r="AS4" s="12">
        <v>9</v>
      </c>
      <c r="AT4" s="27"/>
      <c r="AU4" s="14"/>
    </row>
    <row r="5" spans="41:47" ht="15.75" thickBot="1" x14ac:dyDescent="0.3">
      <c r="AO5" s="3"/>
      <c r="AP5" s="28"/>
      <c r="AQ5" s="3"/>
      <c r="AS5" s="3"/>
      <c r="AT5" s="28"/>
      <c r="AU5" s="3"/>
    </row>
    <row r="6" spans="41:47" ht="15.75" thickBot="1" x14ac:dyDescent="0.3">
      <c r="AO6" s="2"/>
      <c r="AP6" s="26" t="s">
        <v>53</v>
      </c>
      <c r="AQ6" s="3"/>
      <c r="AS6" s="2"/>
      <c r="AT6" s="26" t="s">
        <v>8</v>
      </c>
      <c r="AU6" s="3"/>
    </row>
    <row r="7" spans="41:47" ht="15.75" thickBot="1" x14ac:dyDescent="0.3">
      <c r="AO7" s="12">
        <v>2</v>
      </c>
      <c r="AP7" s="33"/>
      <c r="AQ7" s="14"/>
      <c r="AS7" s="12">
        <v>10</v>
      </c>
      <c r="AT7" s="27"/>
      <c r="AU7" s="14"/>
    </row>
    <row r="8" spans="41:47" ht="15.75" thickBot="1" x14ac:dyDescent="0.3">
      <c r="AO8" s="3"/>
      <c r="AP8" s="28"/>
      <c r="AQ8" s="3"/>
      <c r="AS8" s="3"/>
      <c r="AT8" s="28"/>
      <c r="AU8" s="3"/>
    </row>
    <row r="9" spans="41:47" ht="15.75" thickBot="1" x14ac:dyDescent="0.3">
      <c r="AO9" s="2"/>
      <c r="AP9" s="26" t="s">
        <v>0</v>
      </c>
      <c r="AQ9" s="3"/>
      <c r="AS9" s="2"/>
      <c r="AT9" s="26" t="s">
        <v>9</v>
      </c>
      <c r="AU9" s="3"/>
    </row>
    <row r="10" spans="41:47" ht="15.75" thickBot="1" x14ac:dyDescent="0.3">
      <c r="AO10" s="12">
        <v>3</v>
      </c>
      <c r="AP10" s="33"/>
      <c r="AQ10" s="14"/>
      <c r="AS10" s="12">
        <v>11</v>
      </c>
      <c r="AT10" s="27"/>
      <c r="AU10" s="14"/>
    </row>
    <row r="11" spans="41:47" ht="15.75" thickBot="1" x14ac:dyDescent="0.3">
      <c r="AO11" s="3"/>
      <c r="AP11" s="28"/>
      <c r="AQ11" s="3"/>
      <c r="AS11" s="3"/>
      <c r="AT11" s="28"/>
      <c r="AU11" s="3"/>
    </row>
    <row r="12" spans="41:47" ht="15.75" thickBot="1" x14ac:dyDescent="0.3">
      <c r="AO12" s="2"/>
      <c r="AP12" s="26" t="s">
        <v>1</v>
      </c>
      <c r="AQ12" s="3"/>
      <c r="AS12" s="2"/>
      <c r="AT12" s="26" t="s">
        <v>10</v>
      </c>
      <c r="AU12" s="3"/>
    </row>
    <row r="13" spans="41:47" ht="15.75" thickBot="1" x14ac:dyDescent="0.3">
      <c r="AO13" s="12">
        <v>4</v>
      </c>
      <c r="AP13" s="33"/>
      <c r="AQ13" s="14"/>
      <c r="AS13" s="12">
        <v>12</v>
      </c>
      <c r="AT13" s="27"/>
      <c r="AU13" s="14"/>
    </row>
    <row r="14" spans="41:47" ht="15.75" thickBot="1" x14ac:dyDescent="0.3">
      <c r="AO14" s="3"/>
      <c r="AP14" s="28"/>
      <c r="AQ14" s="3"/>
      <c r="AS14" s="3"/>
      <c r="AT14" s="28"/>
      <c r="AU14" s="3"/>
    </row>
    <row r="15" spans="41:47" ht="15" customHeight="1" thickBot="1" x14ac:dyDescent="0.3">
      <c r="AO15" s="2"/>
      <c r="AP15" s="29" t="s">
        <v>2</v>
      </c>
      <c r="AQ15" s="3"/>
      <c r="AS15" s="2"/>
      <c r="AT15" s="26" t="s">
        <v>11</v>
      </c>
      <c r="AU15" s="3"/>
    </row>
    <row r="16" spans="41:47" ht="15.75" thickBot="1" x14ac:dyDescent="0.3">
      <c r="AO16" s="12">
        <v>5</v>
      </c>
      <c r="AP16" s="30"/>
      <c r="AQ16" s="14"/>
      <c r="AS16" s="12">
        <v>13</v>
      </c>
      <c r="AT16" s="27"/>
      <c r="AU16" s="14"/>
    </row>
    <row r="17" spans="2:47" ht="15.75" thickBot="1" x14ac:dyDescent="0.3">
      <c r="AO17" s="3"/>
      <c r="AP17" s="31"/>
      <c r="AQ17" s="3"/>
      <c r="AS17" s="3"/>
      <c r="AT17" s="28"/>
      <c r="AU17" s="3"/>
    </row>
    <row r="18" spans="2:47" ht="15.75" thickBot="1" x14ac:dyDescent="0.3">
      <c r="AO18" s="13"/>
      <c r="AP18" s="32"/>
      <c r="AQ18" s="15"/>
      <c r="AS18" s="2"/>
      <c r="AT18" s="26" t="s">
        <v>12</v>
      </c>
      <c r="AU18" s="3"/>
    </row>
    <row r="19" spans="2:47" ht="15.75" thickBot="1" x14ac:dyDescent="0.3">
      <c r="AO19" s="2"/>
      <c r="AP19" s="26" t="s">
        <v>3</v>
      </c>
      <c r="AQ19" s="3"/>
      <c r="AS19" s="12">
        <v>14</v>
      </c>
      <c r="AT19" s="27"/>
      <c r="AU19" s="14"/>
    </row>
    <row r="20" spans="2:47" ht="15.75" thickBot="1" x14ac:dyDescent="0.3">
      <c r="AO20" s="12">
        <v>6</v>
      </c>
      <c r="AP20" s="33"/>
      <c r="AQ20" s="14"/>
      <c r="AS20" s="3"/>
      <c r="AT20" s="28"/>
      <c r="AU20" s="3"/>
    </row>
    <row r="21" spans="2:47" ht="15.75" thickBot="1" x14ac:dyDescent="0.3">
      <c r="AO21" s="3"/>
      <c r="AP21" s="28"/>
      <c r="AQ21" s="3"/>
      <c r="AS21" s="2"/>
      <c r="AT21" s="26" t="s">
        <v>13</v>
      </c>
      <c r="AU21" s="3"/>
    </row>
    <row r="22" spans="2:47" ht="15.75" thickBot="1" x14ac:dyDescent="0.3">
      <c r="AO22" s="2"/>
      <c r="AP22" s="29" t="s">
        <v>5</v>
      </c>
      <c r="AQ22" s="3"/>
      <c r="AS22" s="12">
        <v>15</v>
      </c>
      <c r="AT22" s="27"/>
      <c r="AU22" s="14"/>
    </row>
    <row r="23" spans="2:47" ht="15.75" thickBot="1" x14ac:dyDescent="0.3">
      <c r="AO23" s="12">
        <v>7</v>
      </c>
      <c r="AP23" s="30"/>
      <c r="AQ23" s="14"/>
      <c r="AS23" s="3"/>
      <c r="AT23" s="28"/>
      <c r="AU23" s="3"/>
    </row>
    <row r="24" spans="2:47" ht="15.75" thickBot="1" x14ac:dyDescent="0.3">
      <c r="AO24" s="3"/>
      <c r="AP24" s="31"/>
      <c r="AQ24" s="3"/>
      <c r="AS24" s="2"/>
      <c r="AT24" s="26" t="s">
        <v>14</v>
      </c>
      <c r="AU24" s="3"/>
    </row>
    <row r="25" spans="2:47" ht="15.75" thickBot="1" x14ac:dyDescent="0.3">
      <c r="AO25" s="13"/>
      <c r="AP25" s="32"/>
      <c r="AQ25" s="15"/>
      <c r="AS25" s="12">
        <v>16</v>
      </c>
      <c r="AT25" s="27"/>
      <c r="AU25" s="14"/>
    </row>
    <row r="26" spans="2:47" ht="18.95" customHeight="1" thickBot="1" x14ac:dyDescent="0.3">
      <c r="B26" s="9" t="str">
        <f>IF(OR(AQ7="ALPHA",AP32=AT32),"A","")</f>
        <v/>
      </c>
      <c r="C26" s="9" t="str">
        <f>IF(OR(AQ16="DEBUG",AP32=AT32),"D","")</f>
        <v/>
      </c>
      <c r="D26" s="9" t="str">
        <f>IF(OR(AP32=AT32,AU22="OPPORTUNITY"),"O","")</f>
        <v/>
      </c>
      <c r="E26" s="9" t="str">
        <f>IF(OR(AP32=AT32,AU7="PATTERN"),"P","")</f>
        <v/>
      </c>
      <c r="F26" s="9" t="str">
        <f>IF(OR(AP32=AT32,AQ4="TRANSITION"),"T","")</f>
        <v/>
      </c>
      <c r="G26" s="9" t="str">
        <f>IF(OR(AP32=AT32,AU25="INVARIANT"),"I","")</f>
        <v/>
      </c>
      <c r="H26" s="9" t="str">
        <f>IF(OR(AP32=AT32,AU28="NODE"),"N","")</f>
        <v/>
      </c>
      <c r="I26" s="9" t="str">
        <f>IF(OR(AP32=AT32,AU13="GENERALITY"),"G","")</f>
        <v/>
      </c>
      <c r="J26" s="10"/>
      <c r="K26" s="9" t="str">
        <f>IF(OR(AP32=AT32,AQ20="CONSTRAINTS"),"C","")</f>
        <v/>
      </c>
      <c r="L26" s="9" t="str">
        <f>IF(OR(AP32=AT32,AU22="OPPORTUNITY"),"O","")</f>
        <v/>
      </c>
      <c r="M26" s="9" t="str">
        <f>IF(OR(AP32=AT32,AU28="NODE"),"N","")</f>
        <v/>
      </c>
      <c r="N26" s="9" t="str">
        <f>IF(OR(AP32=AT32,AQ4="TRANSITION"),"T","")</f>
        <v/>
      </c>
      <c r="O26" s="9" t="str">
        <f>IF(OR(AP32=AT32,AU25="INVARIANT"),"I","")</f>
        <v/>
      </c>
      <c r="P26" s="9" t="str">
        <f>IF(OR(AP32=AT32,AU28="NODE"),"N","")</f>
        <v/>
      </c>
      <c r="Q26" s="9" t="str">
        <f>IF(OR(AP32=AT32,AU10="USABILITY"),"U","")</f>
        <v/>
      </c>
      <c r="R26" s="9" t="str">
        <f>IF(OR(AP32=AT32,AU22="OPPORTUNITY"),"O","")</f>
        <v/>
      </c>
      <c r="S26" s="9" t="str">
        <f>IF(OR(AP32=AT32,AU10="USABILITY"),"U","")</f>
        <v/>
      </c>
      <c r="T26" s="9" t="str">
        <f>IF(OR(AP32=AT32,AQ13="STAKEHOLDERS"),"S","")</f>
        <v/>
      </c>
      <c r="U26" s="10"/>
      <c r="V26" s="9" t="str">
        <f>IF(OR(AQ16="DEBUG",AP32=AT32),"D","")</f>
        <v/>
      </c>
      <c r="W26" s="9" t="str">
        <f>IF(OR(AP32=AT32,AQ23="ERROR"),"E","")</f>
        <v/>
      </c>
      <c r="X26" s="9" t="str">
        <f>IF(OR(AP32=AT32,AQ27="LEADERSHIP"),"L","")</f>
        <v/>
      </c>
      <c r="Y26" s="9" t="str">
        <f>IF(OR(AP32=AT32,AU25="INVARIANT"),"I","")</f>
        <v/>
      </c>
      <c r="Z26" s="9" t="str">
        <f>IF(OR(AP32=AT32,AU19="VARIABLE"),"V","")</f>
        <v/>
      </c>
      <c r="AA26" s="9" t="str">
        <f>IF(OR(AP32=AT32,AQ23="ERROR"),"E","")</f>
        <v/>
      </c>
      <c r="AB26" s="9" t="str">
        <f>IF(OR(AP32=AT32,AQ10="REQUIREMENTS"),"R","")</f>
        <v/>
      </c>
      <c r="AC26" s="9" t="str">
        <f>IF(OR(AP32=AT32,AU16="YOTTABYTE"),"Y","")</f>
        <v/>
      </c>
      <c r="AD26" s="10"/>
      <c r="AE26" s="9" t="str">
        <f>IF(OR(AP32=AT32,AQ10="REQUIREMENTS"),"R","")</f>
        <v/>
      </c>
      <c r="AF26" s="9" t="str">
        <f>IF(OR(AP32=AT32,AQ23="ERROR"),"E","")</f>
        <v/>
      </c>
      <c r="AG26" s="9" t="str">
        <f>IF(OR(AP32=AT32,AQ27="LEADERSHIP"),"L","")</f>
        <v/>
      </c>
      <c r="AH26" s="9" t="str">
        <f>IF(OR(AP32=AT32,AU25="INVARIANT"),"I","")</f>
        <v/>
      </c>
      <c r="AI26" s="9" t="str">
        <f>IF(OR(AP32=AT32,AQ23="ERROR"),"E","")</f>
        <v/>
      </c>
      <c r="AJ26" s="9" t="str">
        <f>IF(OR(AP32=AT32,AU19="VARIABLE"),"V","")</f>
        <v/>
      </c>
      <c r="AK26" s="9" t="str">
        <f>IF(OR(AP32=AT32,AQ23="ERROR"),"E","")</f>
        <v/>
      </c>
      <c r="AL26" s="9" t="str">
        <f>IF(OR(AP32=AT32,AQ13="STAKEHOLDERS"),"S","")</f>
        <v/>
      </c>
      <c r="AO26" s="2"/>
      <c r="AP26" s="26" t="s">
        <v>6</v>
      </c>
      <c r="AQ26" s="3"/>
      <c r="AS26" s="3"/>
      <c r="AT26" s="28"/>
      <c r="AU26" s="3"/>
    </row>
    <row r="27" spans="2:47" ht="18.95" customHeight="1" thickBot="1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O27" s="12">
        <v>8</v>
      </c>
      <c r="AP27" s="33"/>
      <c r="AQ27" s="14"/>
      <c r="AS27" s="2"/>
      <c r="AT27" s="26" t="s">
        <v>15</v>
      </c>
      <c r="AU27" s="3"/>
    </row>
    <row r="28" spans="2:47" ht="18.95" customHeight="1" thickBot="1" x14ac:dyDescent="0.4">
      <c r="B28" s="11"/>
      <c r="C28" s="11"/>
      <c r="D28" s="11"/>
      <c r="E28" s="11"/>
      <c r="F28" s="11"/>
      <c r="G28" s="9" t="str">
        <f>IF(OR(AP32=AT32,AU13="GENERALITY"),"G","")</f>
        <v/>
      </c>
      <c r="H28" s="9" t="str">
        <f>IF(OR(AP32=AT32,AQ7="ALPHA"),"A","")</f>
        <v/>
      </c>
      <c r="I28" s="9" t="str">
        <f>IF(OR(AP32=AT32,AU7="PATTERN"),"P","")</f>
        <v/>
      </c>
      <c r="J28" s="9" t="str">
        <f>IF(OR(AP32=AT32,AQ13="STAKEHOLDERS"),"S","")</f>
        <v/>
      </c>
      <c r="K28" s="10"/>
      <c r="L28" s="9" t="str">
        <f>IF(OR(AP32=AT32,AU25="INVARIANT"),"I","")</f>
        <v/>
      </c>
      <c r="M28" s="9" t="str">
        <f>IF(OR(AP32=AT32,AU28="NODE"),"N","")</f>
        <v/>
      </c>
      <c r="N28" s="10"/>
      <c r="O28" s="9" t="str">
        <f>IF(OR(AP32=AT32,AQ7="ALPHA"),"A","")</f>
        <v/>
      </c>
      <c r="P28" s="10"/>
      <c r="Q28" s="9" t="str">
        <f>IF(OR(AP32=AT32,AQ20="CONSTRAINTS"),"C","")</f>
        <v/>
      </c>
      <c r="R28" s="9" t="str">
        <f>IF(OR(AP32=AT32,AU22="OPPORTUNITY"),"O","")</f>
        <v/>
      </c>
      <c r="S28" s="9" t="str">
        <f>IF(OR(AP32=AT32,AU4="METHOD"),"M","")</f>
        <v/>
      </c>
      <c r="T28" s="9" t="str">
        <f>IF(OR(AP32=AT32,AU7="PATTERN"),"P","")</f>
        <v/>
      </c>
      <c r="U28" s="9" t="str">
        <f>IF(OR(AP32=AT32,AQ7="ALPHA"),"A","")</f>
        <v/>
      </c>
      <c r="V28" s="9" t="str">
        <f>IF(OR(AP32=AT32,AU28="NODE"),"N","")</f>
        <v/>
      </c>
      <c r="W28" s="9" t="str">
        <f>IF(OR(AP32=AT32,AU16="YOTTABYTE"),"Y","")</f>
        <v/>
      </c>
      <c r="X28" s="10"/>
      <c r="Y28" s="9" t="str">
        <f>IF(OR(AP32=AT32,AQ13="STAKEHOLDERS"),"S","")</f>
        <v/>
      </c>
      <c r="Z28" s="9" t="str">
        <f>IF(OR(AP32=AT32,AQ4="TRANSITION"),"T","")</f>
        <v/>
      </c>
      <c r="AA28" s="9" t="str">
        <f>IF(OR(AP32=AT32,AQ10="REQUIREMENTS"),"R","")</f>
        <v/>
      </c>
      <c r="AB28" s="9" t="str">
        <f>IF(OR(AP32=AT32,AU10="USABILITY"),"U","")</f>
        <v/>
      </c>
      <c r="AC28" s="9" t="str">
        <f>IF(OR(AP32=AT32,AQ20="CONSTRAINTS"),"C","")</f>
        <v/>
      </c>
      <c r="AD28" s="9" t="str">
        <f>IF(OR(AP32=AT32,AQ4="TRANSITION"),"T","")</f>
        <v/>
      </c>
      <c r="AE28" s="9" t="str">
        <f>IF(OR(AP32=AT32,AU10="USABILITY"),"U","")</f>
        <v/>
      </c>
      <c r="AF28" s="9" t="str">
        <f>IF(OR(AP32=AT32,AQ10="REQUIREMENTS"),"R","")</f>
        <v/>
      </c>
      <c r="AG28" s="9" t="str">
        <f>IF(OR(AP32=AT32,AQ23="ERROR"),"E","")</f>
        <v/>
      </c>
      <c r="AH28" s="10"/>
      <c r="AI28" s="10"/>
      <c r="AJ28" s="10"/>
      <c r="AK28" s="10"/>
      <c r="AL28" s="10"/>
      <c r="AP28" s="28"/>
      <c r="AS28" s="12">
        <v>17</v>
      </c>
      <c r="AT28" s="27"/>
      <c r="AU28" s="14"/>
    </row>
    <row r="29" spans="2:47" ht="15.75" thickBot="1" x14ac:dyDescent="0.3">
      <c r="AT29" s="28"/>
    </row>
    <row r="30" spans="2:47" ht="15.75" x14ac:dyDescent="0.25">
      <c r="AS30" s="6"/>
    </row>
    <row r="31" spans="2:47" ht="15.75" thickBot="1" x14ac:dyDescent="0.3">
      <c r="AP31" s="3" t="s">
        <v>16</v>
      </c>
    </row>
    <row r="32" spans="2:47" ht="33" customHeight="1" thickBot="1" x14ac:dyDescent="0.3">
      <c r="AP32" s="17"/>
      <c r="AR32" s="5"/>
      <c r="AT32" s="7" t="s">
        <v>17</v>
      </c>
    </row>
    <row r="33" spans="43:43" x14ac:dyDescent="0.25">
      <c r="AQ33" s="5"/>
    </row>
  </sheetData>
  <mergeCells count="17">
    <mergeCell ref="AP3:AP5"/>
    <mergeCell ref="AP9:AP11"/>
    <mergeCell ref="AP12:AP14"/>
    <mergeCell ref="AP15:AP18"/>
    <mergeCell ref="AP19:AP21"/>
    <mergeCell ref="AP22:AP25"/>
    <mergeCell ref="AP26:AP28"/>
    <mergeCell ref="AP6:AP8"/>
    <mergeCell ref="AT18:AT20"/>
    <mergeCell ref="AT21:AT23"/>
    <mergeCell ref="AT24:AT26"/>
    <mergeCell ref="AT27:AT29"/>
    <mergeCell ref="AT3:AT5"/>
    <mergeCell ref="AT6:AT8"/>
    <mergeCell ref="AT9:AT11"/>
    <mergeCell ref="AT12:AT14"/>
    <mergeCell ref="AT15:AT17"/>
  </mergeCells>
  <conditionalFormatting sqref="AP32">
    <cfRule type="cellIs" dxfId="65" priority="19" operator="equal">
      <formula>$AT$32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equal" id="{DE7583A4-D4D9-41E7-9928-D97D7B769B61}">
            <xm:f>ANSWERS!$B$2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AQ4</xm:sqref>
        </x14:conditionalFormatting>
        <x14:conditionalFormatting xmlns:xm="http://schemas.microsoft.com/office/excel/2006/main">
          <x14:cfRule type="cellIs" priority="17" operator="equal" id="{08A5B362-2DFA-4118-818E-DEB5D44FA5B6}">
            <xm:f>ANSWERS!$B$3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AQ7</xm:sqref>
        </x14:conditionalFormatting>
        <x14:conditionalFormatting xmlns:xm="http://schemas.microsoft.com/office/excel/2006/main">
          <x14:cfRule type="cellIs" priority="16" operator="equal" id="{272174F0-3576-41D4-9E1E-040CE575D373}">
            <xm:f>ANSWERS!$B$4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AQ10</xm:sqref>
        </x14:conditionalFormatting>
        <x14:conditionalFormatting xmlns:xm="http://schemas.microsoft.com/office/excel/2006/main">
          <x14:cfRule type="cellIs" priority="15" operator="equal" id="{92D2D92C-EC46-4A08-B19D-DCC80B22D826}">
            <xm:f>ANSWERS!$B$5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ellIs" priority="14" operator="equal" id="{3665D3AA-61DC-4DCB-9CCF-586150305A04}">
            <xm:f>ANSWERS!$B$6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AQ16</xm:sqref>
        </x14:conditionalFormatting>
        <x14:conditionalFormatting xmlns:xm="http://schemas.microsoft.com/office/excel/2006/main">
          <x14:cfRule type="cellIs" priority="13" operator="equal" id="{3B633735-DD7E-4F01-8292-45E9FD5D615A}">
            <xm:f>ANSWERS!$B$7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AQ20</xm:sqref>
        </x14:conditionalFormatting>
        <x14:conditionalFormatting xmlns:xm="http://schemas.microsoft.com/office/excel/2006/main">
          <x14:cfRule type="cellIs" priority="12" operator="equal" id="{24F73C08-D790-4BE1-93D1-B77DA317D378}">
            <xm:f>ANSWERS!$B$8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AQ23</xm:sqref>
        </x14:conditionalFormatting>
        <x14:conditionalFormatting xmlns:xm="http://schemas.microsoft.com/office/excel/2006/main">
          <x14:cfRule type="cellIs" priority="11" operator="equal" id="{0BD304CA-00B5-4813-8A6D-B86F90E5ED23}">
            <xm:f>ANSWERS!$B$9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AQ27</xm:sqref>
        </x14:conditionalFormatting>
        <x14:conditionalFormatting xmlns:xm="http://schemas.microsoft.com/office/excel/2006/main">
          <x14:cfRule type="cellIs" priority="10" operator="equal" id="{0FB4B955-2F58-45E0-8C0F-38F0AA5026B5}">
            <xm:f>ANSWERS!$B$10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AU4</xm:sqref>
        </x14:conditionalFormatting>
        <x14:conditionalFormatting xmlns:xm="http://schemas.microsoft.com/office/excel/2006/main">
          <x14:cfRule type="cellIs" priority="9" operator="equal" id="{F7C397D1-0CA3-4FFA-B754-62065ED9010B}">
            <xm:f>ANSWERS!$B$11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AU7</xm:sqref>
        </x14:conditionalFormatting>
        <x14:conditionalFormatting xmlns:xm="http://schemas.microsoft.com/office/excel/2006/main">
          <x14:cfRule type="cellIs" priority="7" operator="equal" id="{78681722-D033-4160-A91F-88EDF427445B}">
            <xm:f>ANSWERS!$B$12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equal" id="{95107333-130F-4FD7-A929-95233AACD439}">
            <xm:f>ANSWERS!$B$12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AU10</xm:sqref>
        </x14:conditionalFormatting>
        <x14:conditionalFormatting xmlns:xm="http://schemas.microsoft.com/office/excel/2006/main">
          <x14:cfRule type="cellIs" priority="6" operator="equal" id="{A450B984-7083-42E4-9720-DD7A87B26E71}">
            <xm:f>ANSWERS!$B$13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AU13</xm:sqref>
        </x14:conditionalFormatting>
        <x14:conditionalFormatting xmlns:xm="http://schemas.microsoft.com/office/excel/2006/main">
          <x14:cfRule type="cellIs" priority="5" operator="equal" id="{3D4282DA-B2E8-49E9-8E86-99D01DD90D0F}">
            <xm:f>ANSWERS!$B$14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AU16</xm:sqref>
        </x14:conditionalFormatting>
        <x14:conditionalFormatting xmlns:xm="http://schemas.microsoft.com/office/excel/2006/main">
          <x14:cfRule type="cellIs" priority="4" operator="equal" id="{A8203386-4FF7-4164-A362-7646DF813457}">
            <xm:f>ANSWERS!$B$15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AU19</xm:sqref>
        </x14:conditionalFormatting>
        <x14:conditionalFormatting xmlns:xm="http://schemas.microsoft.com/office/excel/2006/main">
          <x14:cfRule type="cellIs" priority="3" operator="equal" id="{4B78CFE3-9E2B-4A42-8337-7B89BAF6BE3F}">
            <xm:f>ANSWERS!$B$16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AU22</xm:sqref>
        </x14:conditionalFormatting>
        <x14:conditionalFormatting xmlns:xm="http://schemas.microsoft.com/office/excel/2006/main">
          <x14:cfRule type="cellIs" priority="2" operator="equal" id="{85A25C92-3EA9-4402-A84E-1527DF7B1855}">
            <xm:f>ANSWERS!$B$17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AU25</xm:sqref>
        </x14:conditionalFormatting>
        <x14:conditionalFormatting xmlns:xm="http://schemas.microsoft.com/office/excel/2006/main">
          <x14:cfRule type="cellIs" priority="1" operator="equal" id="{12508601-2A55-4B91-AF85-7DEE3629DE98}">
            <xm:f>ANSWERS!$B$18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891A-46A9-4A36-BB2C-96C14D0D217E}">
  <dimension ref="B2:AU33"/>
  <sheetViews>
    <sheetView showGridLines="0" showRowColHeaders="0" zoomScale="95" zoomScaleNormal="95" workbookViewId="0">
      <selection activeCell="AT21" sqref="AT21:AT23"/>
    </sheetView>
  </sheetViews>
  <sheetFormatPr baseColWidth="10" defaultRowHeight="15" x14ac:dyDescent="0.25"/>
  <cols>
    <col min="1" max="41" width="2.7109375" customWidth="1"/>
    <col min="42" max="42" width="59.42578125" customWidth="1"/>
    <col min="43" max="43" width="18.7109375" customWidth="1"/>
    <col min="44" max="44" width="7.140625" customWidth="1"/>
    <col min="45" max="45" width="3.28515625" customWidth="1"/>
    <col min="46" max="46" width="56.42578125" customWidth="1"/>
    <col min="47" max="47" width="18.85546875" customWidth="1"/>
  </cols>
  <sheetData>
    <row r="2" spans="41:47" ht="15.75" thickBot="1" x14ac:dyDescent="0.3">
      <c r="AO2" s="2"/>
      <c r="AP2" s="2"/>
      <c r="AQ2" s="2"/>
      <c r="AR2" s="2"/>
    </row>
    <row r="3" spans="41:47" ht="15.75" thickBot="1" x14ac:dyDescent="0.3">
      <c r="AP3" s="26" t="s">
        <v>52</v>
      </c>
      <c r="AS3" s="1"/>
      <c r="AT3" s="26" t="s">
        <v>37</v>
      </c>
    </row>
    <row r="4" spans="41:47" ht="15.75" thickBot="1" x14ac:dyDescent="0.3">
      <c r="AO4" s="12">
        <v>1</v>
      </c>
      <c r="AP4" s="27"/>
      <c r="AQ4" s="14"/>
      <c r="AS4" s="12">
        <v>9</v>
      </c>
      <c r="AT4" s="27"/>
      <c r="AU4" s="14"/>
    </row>
    <row r="5" spans="41:47" ht="15.75" thickBot="1" x14ac:dyDescent="0.3">
      <c r="AO5" s="3"/>
      <c r="AP5" s="28"/>
      <c r="AQ5" s="3"/>
      <c r="AS5" s="3"/>
      <c r="AT5" s="28"/>
      <c r="AU5" s="3"/>
    </row>
    <row r="6" spans="41:47" ht="15.75" thickBot="1" x14ac:dyDescent="0.3">
      <c r="AO6" s="2"/>
      <c r="AP6" s="26" t="s">
        <v>53</v>
      </c>
      <c r="AQ6" s="3"/>
      <c r="AS6" s="2"/>
      <c r="AT6" s="26" t="s">
        <v>39</v>
      </c>
      <c r="AU6" s="3"/>
    </row>
    <row r="7" spans="41:47" ht="15.75" thickBot="1" x14ac:dyDescent="0.3">
      <c r="AO7" s="12">
        <v>2</v>
      </c>
      <c r="AP7" s="27"/>
      <c r="AQ7" s="14"/>
      <c r="AS7" s="12">
        <v>10</v>
      </c>
      <c r="AT7" s="27"/>
      <c r="AU7" s="14"/>
    </row>
    <row r="8" spans="41:47" ht="15.75" thickBot="1" x14ac:dyDescent="0.3">
      <c r="AO8" s="3"/>
      <c r="AP8" s="28"/>
      <c r="AQ8" s="3"/>
      <c r="AS8" s="3"/>
      <c r="AT8" s="28"/>
      <c r="AU8" s="3"/>
    </row>
    <row r="9" spans="41:47" ht="15.75" thickBot="1" x14ac:dyDescent="0.3">
      <c r="AO9" s="2"/>
      <c r="AP9" s="26" t="s">
        <v>0</v>
      </c>
      <c r="AQ9" s="3"/>
      <c r="AS9" s="2"/>
      <c r="AT9" s="26" t="s">
        <v>9</v>
      </c>
      <c r="AU9" s="3"/>
    </row>
    <row r="10" spans="41:47" ht="15.75" thickBot="1" x14ac:dyDescent="0.3">
      <c r="AO10" s="12">
        <v>3</v>
      </c>
      <c r="AP10" s="27"/>
      <c r="AQ10" s="14"/>
      <c r="AS10" s="12">
        <v>11</v>
      </c>
      <c r="AT10" s="27"/>
      <c r="AU10" s="16"/>
    </row>
    <row r="11" spans="41:47" ht="15.75" thickBot="1" x14ac:dyDescent="0.3">
      <c r="AO11" s="3"/>
      <c r="AP11" s="28"/>
      <c r="AQ11" s="3"/>
      <c r="AS11" s="3"/>
      <c r="AT11" s="28"/>
      <c r="AU11" s="3"/>
    </row>
    <row r="12" spans="41:47" ht="15.75" thickBot="1" x14ac:dyDescent="0.3">
      <c r="AO12" s="2"/>
      <c r="AP12" s="26" t="s">
        <v>1</v>
      </c>
      <c r="AQ12" s="3"/>
      <c r="AS12" s="2"/>
      <c r="AT12" s="26" t="s">
        <v>14</v>
      </c>
      <c r="AU12" s="3"/>
    </row>
    <row r="13" spans="41:47" ht="15.75" thickBot="1" x14ac:dyDescent="0.3">
      <c r="AO13" s="12">
        <v>4</v>
      </c>
      <c r="AP13" s="27"/>
      <c r="AQ13" s="16"/>
      <c r="AS13" s="12">
        <v>12</v>
      </c>
      <c r="AT13" s="27"/>
      <c r="AU13" s="14"/>
    </row>
    <row r="14" spans="41:47" ht="15.75" thickBot="1" x14ac:dyDescent="0.3">
      <c r="AO14" s="3"/>
      <c r="AP14" s="28"/>
      <c r="AQ14" s="3"/>
      <c r="AS14" s="3"/>
      <c r="AT14" s="28"/>
      <c r="AU14" s="3"/>
    </row>
    <row r="15" spans="41:47" ht="15" customHeight="1" thickBot="1" x14ac:dyDescent="0.3">
      <c r="AO15" s="2"/>
      <c r="AP15" s="29" t="s">
        <v>2</v>
      </c>
      <c r="AQ15" s="3"/>
      <c r="AS15" s="2"/>
      <c r="AT15" s="26" t="s">
        <v>15</v>
      </c>
      <c r="AU15" s="3"/>
    </row>
    <row r="16" spans="41:47" ht="15.75" thickBot="1" x14ac:dyDescent="0.3">
      <c r="AO16" s="12">
        <v>5</v>
      </c>
      <c r="AP16" s="31"/>
      <c r="AQ16" s="16"/>
      <c r="AS16" s="12">
        <v>13</v>
      </c>
      <c r="AT16" s="27"/>
      <c r="AU16" s="16"/>
    </row>
    <row r="17" spans="2:47" ht="15.75" thickBot="1" x14ac:dyDescent="0.3">
      <c r="AO17" s="3"/>
      <c r="AP17" s="31"/>
      <c r="AQ17" s="3"/>
      <c r="AT17" s="28"/>
    </row>
    <row r="18" spans="2:47" ht="15.75" thickBot="1" x14ac:dyDescent="0.3">
      <c r="AO18" s="13"/>
      <c r="AP18" s="32"/>
      <c r="AQ18" s="15"/>
      <c r="AS18" s="4"/>
      <c r="AT18" s="34"/>
      <c r="AU18" s="5"/>
    </row>
    <row r="19" spans="2:47" ht="15.75" thickBot="1" x14ac:dyDescent="0.3">
      <c r="AO19" s="2"/>
      <c r="AP19" s="26" t="s">
        <v>3</v>
      </c>
      <c r="AQ19" s="3"/>
      <c r="AS19" s="4"/>
      <c r="AT19" s="35"/>
      <c r="AU19" s="4"/>
    </row>
    <row r="20" spans="2:47" ht="15.75" thickBot="1" x14ac:dyDescent="0.3">
      <c r="AO20" s="12">
        <v>6</v>
      </c>
      <c r="AP20" s="27"/>
      <c r="AQ20" s="16"/>
      <c r="AS20" s="5"/>
      <c r="AT20" s="35"/>
      <c r="AU20" s="5"/>
    </row>
    <row r="21" spans="2:47" ht="15.75" thickBot="1" x14ac:dyDescent="0.3">
      <c r="AO21" s="3"/>
      <c r="AP21" s="28"/>
      <c r="AQ21" s="3"/>
      <c r="AS21" s="4"/>
      <c r="AT21" s="34"/>
      <c r="AU21" s="5"/>
    </row>
    <row r="22" spans="2:47" ht="15.75" thickBot="1" x14ac:dyDescent="0.3">
      <c r="AO22" s="2"/>
      <c r="AP22" s="29" t="s">
        <v>5</v>
      </c>
      <c r="AQ22" s="3"/>
      <c r="AS22" s="4"/>
      <c r="AT22" s="35"/>
      <c r="AU22" s="4"/>
    </row>
    <row r="23" spans="2:47" ht="15.75" thickBot="1" x14ac:dyDescent="0.3">
      <c r="AO23" s="12">
        <v>7</v>
      </c>
      <c r="AP23" s="31"/>
      <c r="AQ23" s="16"/>
      <c r="AS23" s="5"/>
      <c r="AT23" s="35"/>
      <c r="AU23" s="5"/>
    </row>
    <row r="24" spans="2:47" x14ac:dyDescent="0.25">
      <c r="AO24" s="3"/>
      <c r="AP24" s="31"/>
      <c r="AQ24" s="3"/>
      <c r="AS24" s="4"/>
      <c r="AT24" s="5"/>
      <c r="AU24" s="5"/>
    </row>
    <row r="25" spans="2:47" ht="15.75" thickBot="1" x14ac:dyDescent="0.3">
      <c r="T25" s="1"/>
      <c r="AC25" s="1"/>
      <c r="AD25" s="4"/>
      <c r="AE25" s="4"/>
      <c r="AF25" s="4"/>
      <c r="AG25" s="4"/>
      <c r="AH25" s="4"/>
      <c r="AI25" s="4"/>
      <c r="AJ25" s="4"/>
      <c r="AK25" s="4"/>
      <c r="AO25" s="13"/>
      <c r="AP25" s="32"/>
      <c r="AQ25" s="15"/>
      <c r="AS25" s="4"/>
      <c r="AT25" s="5"/>
      <c r="AU25" s="5"/>
    </row>
    <row r="26" spans="2:47" ht="18.95" customHeight="1" thickBot="1" x14ac:dyDescent="0.4">
      <c r="B26" s="9" t="str">
        <f>IF(OR(AP32=AT32,AU13="INVARIANT"),"I","")</f>
        <v/>
      </c>
      <c r="C26" s="9" t="str">
        <f>IF(OR(AP32=AT32,AU16="NODE"),"N","")</f>
        <v/>
      </c>
      <c r="D26" s="9" t="str">
        <f>IF(OR(AP32=AT32,AQ27="FAULT"),"F","")</f>
        <v/>
      </c>
      <c r="E26" s="9" t="str">
        <f>IF(OR(AP32=AT32,AQ10="REQUIREMENTS"),"R","")</f>
        <v/>
      </c>
      <c r="F26" s="9" t="str">
        <f>IF(OR(AQ7="ALPHA",AP32=AT32),"A","")</f>
        <v/>
      </c>
      <c r="G26" s="9" t="str">
        <f>IF(OR(AP32=AT32,AQ13="STAKEHOLDERS"),"S","")</f>
        <v/>
      </c>
      <c r="H26" s="9" t="str">
        <f>IF(OR(AP32=AT32,AQ4="TRANSITION"),"T","")</f>
        <v/>
      </c>
      <c r="I26" s="9" t="str">
        <f>IF(OR(AP32=AT32,AQ10="REQUIREMENTS"),"R","")</f>
        <v/>
      </c>
      <c r="J26" s="9" t="str">
        <f>IF(OR(AP32=AT32,AU10="USABILITY"),"U","")</f>
        <v/>
      </c>
      <c r="K26" s="9" t="str">
        <f>IF(OR(AP32=AT32,AQ20="CONSTRAINTS"),"C","")</f>
        <v/>
      </c>
      <c r="L26" s="9" t="str">
        <f>IF(OR(AP32=AT32,AQ4="TRANSITION"),"T","")</f>
        <v/>
      </c>
      <c r="M26" s="9" t="str">
        <f>IF(OR(AP32=AT32,AU10="USABILITY"),"U","")</f>
        <v/>
      </c>
      <c r="N26" s="9" t="str">
        <f>IF(OR(AP32=AT32,AQ10="REQUIREMENTS"),"R","")</f>
        <v/>
      </c>
      <c r="O26" s="9" t="str">
        <f>IF(OR(AP32=AT32,AQ23="ERROR"),"E","")</f>
        <v/>
      </c>
      <c r="P26" s="11"/>
      <c r="Q26" s="9" t="str">
        <f>IF(OR(AP32=AT32,AQ13="STAKEHOLDERS"),"S","")</f>
        <v/>
      </c>
      <c r="R26" s="9" t="str">
        <f>IF(OR(AP32=AT32,AQ4="TRANSITION"),"T","")</f>
        <v/>
      </c>
      <c r="S26" s="9" t="str">
        <f>IF(OR(AQ7="ALPHA",AP32=AT32),"A","")</f>
        <v/>
      </c>
      <c r="T26" s="9" t="str">
        <f>IF(OR(AP32=AT32,AQ27="FAULT"),"F","")</f>
        <v/>
      </c>
      <c r="U26" s="9" t="str">
        <f>IF(OR(AP32=AT32,AQ27="FAULT"),"F","")</f>
        <v/>
      </c>
      <c r="V26" s="11"/>
      <c r="W26" s="9" t="str">
        <f>IF(OR(AP32=AT32,AQ20="CONSTRAINTS"),"C","")</f>
        <v/>
      </c>
      <c r="X26" s="9" t="str">
        <f>IF(OR(AP32=AT32,AQ10="REQUIREMENTS"),"R","")</f>
        <v/>
      </c>
      <c r="Y26" s="9" t="str">
        <f>IF(OR(AP32=AT32,AQ23="ERROR"),"E","")</f>
        <v/>
      </c>
      <c r="Z26" s="9" t="str">
        <f>IF(OR(AQ7="ALPHA",AP32=AT32),"A","")</f>
        <v/>
      </c>
      <c r="AA26" s="9" t="str">
        <f>IF(OR(AP32=AT32,AQ4="TRANSITION"),"T","")</f>
        <v/>
      </c>
      <c r="AB26" s="9" t="str">
        <f>IF(OR(AP32=AT32,AQ23="ERROR"),"E","")</f>
        <v/>
      </c>
      <c r="AC26" s="9" t="str">
        <f>IF(OR(AP32=AT32,AQ13="STAKEHOLDERS"),"S","")</f>
        <v/>
      </c>
      <c r="AD26" s="10"/>
      <c r="AE26" s="9" t="str">
        <f>IF(OR(AQ7="ALPHA",AP32=AT32),"A","")</f>
        <v/>
      </c>
      <c r="AF26" s="9" t="str">
        <f>IF(OR(AP32=AT32,AU16="NODE"),"N","")</f>
        <v/>
      </c>
      <c r="AG26" s="9" t="str">
        <f>IF(OR(AQ16="DEBUG",AP32=AT32),"D","")</f>
        <v/>
      </c>
      <c r="AH26" s="11"/>
      <c r="AI26" s="9" t="str">
        <f>IF(OR(AP32=AT32,AQ27="FAULT"),"F","")</f>
        <v/>
      </c>
      <c r="AJ26" s="9" t="str">
        <f>IF(OR(AP32=AT32,AU13="INVARIANT"),"I","")</f>
        <v/>
      </c>
      <c r="AK26" s="9" t="str">
        <f>IF(OR(AP32=AT32,AU16="NODE"),"N","")</f>
        <v/>
      </c>
      <c r="AL26" s="9" t="str">
        <f>IF(OR(AP32=AT32,AQ23="ERROR"),"E","")</f>
        <v/>
      </c>
      <c r="AO26" s="2"/>
      <c r="AP26" s="26" t="s">
        <v>35</v>
      </c>
      <c r="AQ26" s="3"/>
      <c r="AS26" s="5"/>
      <c r="AT26" s="5"/>
      <c r="AU26" s="5"/>
    </row>
    <row r="27" spans="2:47" ht="18.95" customHeight="1" thickBot="1" x14ac:dyDescent="0.3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O27" s="12">
        <v>8</v>
      </c>
      <c r="AP27" s="27"/>
      <c r="AQ27" s="14"/>
      <c r="AS27" s="4"/>
      <c r="AT27" s="5"/>
      <c r="AU27" s="5"/>
    </row>
    <row r="28" spans="2:47" ht="18.95" customHeight="1" thickBot="1" x14ac:dyDescent="0.4">
      <c r="B28" s="11"/>
      <c r="C28" s="11"/>
      <c r="D28" s="11"/>
      <c r="E28" s="11"/>
      <c r="F28" s="11"/>
      <c r="G28" s="11"/>
      <c r="H28" s="11"/>
      <c r="I28" s="11"/>
      <c r="J28" s="9" t="str">
        <f>IF(OR(AP32=AT32,AQ4="TRANSITION"),"T","")</f>
        <v/>
      </c>
      <c r="K28" s="9" t="str">
        <f>IF(OR(AP32=AT32,AU10="USABILITY"),"U","")</f>
        <v/>
      </c>
      <c r="L28" s="9" t="str">
        <f>IF(OR(AP32=AT32,AU16="NODE"),"N","")</f>
        <v/>
      </c>
      <c r="M28" s="9" t="str">
        <f>IF(OR(AP32=AT32,AQ23="ERROR"),"E","")</f>
        <v/>
      </c>
      <c r="N28" s="9" t="str">
        <f>IF(OR(AP32=AT32,AQ13="STAKEHOLDERS"),"S","")</f>
        <v/>
      </c>
      <c r="O28" s="11"/>
      <c r="P28" s="9" t="str">
        <f>IF(OR(AP32=AT32,AQ4="TRANSITION"),"T","")</f>
        <v/>
      </c>
      <c r="Q28" s="9" t="str">
        <f>IF(OR(AP32=AT32,AU7="HARDWARE"),"H","")</f>
        <v/>
      </c>
      <c r="R28" s="9" t="str">
        <f>IF(OR(AP32=AT32,AQ23="ERROR"),"E","")</f>
        <v/>
      </c>
      <c r="S28" s="11"/>
      <c r="T28" s="9" t="str">
        <f>IF(OR(AQ16="DEBUG",AP32=AT32),"D","")</f>
        <v/>
      </c>
      <c r="U28" s="9" t="str">
        <f>IF(OR(AQ7="ALPHA",AP32=AT32),"A","")</f>
        <v/>
      </c>
      <c r="V28" s="9" t="str">
        <f>IF(OR(AP32=AT32,AQ4="TRANSITION"),"T","")</f>
        <v/>
      </c>
      <c r="W28" s="9" t="str">
        <f>IF(OR(AQ7="ALPHA",AP32=AT32),"A","")</f>
        <v/>
      </c>
      <c r="X28" s="9" t="str">
        <f>IF(OR(AP32=AT32,AU4="BUG"),"B","")</f>
        <v/>
      </c>
      <c r="Y28" s="9" t="str">
        <f>IF(OR(AQ7="ALPHA",AP32=AT32),"A","")</f>
        <v/>
      </c>
      <c r="Z28" s="9" t="str">
        <f>IF(OR(AP32=AT32,AQ13="STAKEHOLDERS"),"S","")</f>
        <v/>
      </c>
      <c r="AA28" s="9" t="str">
        <f>IF(OR(AP32=AT32,AQ23="ERROR"),"E","")</f>
        <v/>
      </c>
      <c r="AB28" s="11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P28" s="28"/>
      <c r="AS28" s="4"/>
      <c r="AT28" s="5"/>
      <c r="AU28" s="5"/>
    </row>
    <row r="30" spans="2:47" ht="15.75" x14ac:dyDescent="0.25">
      <c r="AS30" s="6"/>
    </row>
    <row r="31" spans="2:47" ht="15.75" thickBot="1" x14ac:dyDescent="0.3">
      <c r="AP31" s="3" t="s">
        <v>16</v>
      </c>
    </row>
    <row r="32" spans="2:47" ht="33" customHeight="1" thickBot="1" x14ac:dyDescent="0.3">
      <c r="AP32" s="17"/>
      <c r="AT32" s="7" t="s">
        <v>34</v>
      </c>
    </row>
    <row r="33" spans="43:43" x14ac:dyDescent="0.25">
      <c r="AQ33" s="5"/>
    </row>
  </sheetData>
  <mergeCells count="15">
    <mergeCell ref="AP3:AP5"/>
    <mergeCell ref="AT3:AT5"/>
    <mergeCell ref="AP6:AP8"/>
    <mergeCell ref="AT6:AT8"/>
    <mergeCell ref="AP9:AP11"/>
    <mergeCell ref="AT9:AT11"/>
    <mergeCell ref="AP26:AP28"/>
    <mergeCell ref="AT15:AT17"/>
    <mergeCell ref="AP12:AP14"/>
    <mergeCell ref="AP15:AP18"/>
    <mergeCell ref="AT18:AT20"/>
    <mergeCell ref="AP19:AP21"/>
    <mergeCell ref="AT21:AT23"/>
    <mergeCell ref="AP22:AP25"/>
    <mergeCell ref="AT12:AT14"/>
  </mergeCells>
  <conditionalFormatting sqref="AP32">
    <cfRule type="cellIs" dxfId="46" priority="14" operator="equal">
      <formula>$AT$32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3" operator="equal" id="{FEB44517-BAB8-45C1-8600-62CE7C78D7B5}">
            <xm:f>ANSWERS!$C$2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AQ4</xm:sqref>
        </x14:conditionalFormatting>
        <x14:conditionalFormatting xmlns:xm="http://schemas.microsoft.com/office/excel/2006/main">
          <x14:cfRule type="cellIs" priority="12" operator="equal" id="{F56DAEC5-E41D-43C5-9108-7C520A9C0B81}">
            <xm:f>ANSWERS!$C$3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AQ7</xm:sqref>
        </x14:conditionalFormatting>
        <x14:conditionalFormatting xmlns:xm="http://schemas.microsoft.com/office/excel/2006/main">
          <x14:cfRule type="cellIs" priority="11" operator="equal" id="{0A707CFD-7105-44C8-A919-DE400C81DF9E}">
            <xm:f>ANSWERS!$C$4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AQ10</xm:sqref>
        </x14:conditionalFormatting>
        <x14:conditionalFormatting xmlns:xm="http://schemas.microsoft.com/office/excel/2006/main">
          <x14:cfRule type="cellIs" priority="10" operator="equal" id="{1FCEE58B-92C6-4F29-9365-F237C75F89E6}">
            <xm:f>ANSWERS!$C$5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ellIs" priority="9" operator="equal" id="{2ADFFEA3-D256-4DC7-BACD-71ED4B42F6BB}">
            <xm:f>ANSWERS!$C$6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AQ16</xm:sqref>
        </x14:conditionalFormatting>
        <x14:conditionalFormatting xmlns:xm="http://schemas.microsoft.com/office/excel/2006/main">
          <x14:cfRule type="cellIs" priority="8" operator="equal" id="{6943D294-EDF6-453C-9A24-2EEB0FD02B66}">
            <xm:f>ANSWERS!$C$7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AQ20</xm:sqref>
        </x14:conditionalFormatting>
        <x14:conditionalFormatting xmlns:xm="http://schemas.microsoft.com/office/excel/2006/main">
          <x14:cfRule type="cellIs" priority="7" operator="equal" id="{B1500CD4-61FD-4221-A141-83E5ADFA1F70}">
            <xm:f>ANSWERS!$C$8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AQ23</xm:sqref>
        </x14:conditionalFormatting>
        <x14:conditionalFormatting xmlns:xm="http://schemas.microsoft.com/office/excel/2006/main">
          <x14:cfRule type="cellIs" priority="6" operator="equal" id="{C65C2837-FC94-445E-AADD-6D45B68CDE4B}">
            <xm:f>ANSWERS!$C$9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AQ27</xm:sqref>
        </x14:conditionalFormatting>
        <x14:conditionalFormatting xmlns:xm="http://schemas.microsoft.com/office/excel/2006/main">
          <x14:cfRule type="cellIs" priority="5" operator="equal" id="{D6A4FD16-0DF5-4D80-9BEB-4877BE6186E2}">
            <xm:f>ANSWERS!$C$10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AU4</xm:sqref>
        </x14:conditionalFormatting>
        <x14:conditionalFormatting xmlns:xm="http://schemas.microsoft.com/office/excel/2006/main">
          <x14:cfRule type="cellIs" priority="4" operator="equal" id="{B9AC1928-9D67-4E60-B0C8-FC51979E8C78}">
            <xm:f>ANSWERS!$C$11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AU7</xm:sqref>
        </x14:conditionalFormatting>
        <x14:conditionalFormatting xmlns:xm="http://schemas.microsoft.com/office/excel/2006/main">
          <x14:cfRule type="cellIs" priority="3" operator="equal" id="{B232D87F-AA48-4F2E-B7D0-36503B6839F6}">
            <xm:f>ANSWERS!$C$12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AU10</xm:sqref>
        </x14:conditionalFormatting>
        <x14:conditionalFormatting xmlns:xm="http://schemas.microsoft.com/office/excel/2006/main">
          <x14:cfRule type="cellIs" priority="2" operator="equal" id="{549E7932-0338-4AA0-821D-6B5C0C1C75AB}">
            <xm:f>ANSWERS!$C$13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AU13</xm:sqref>
        </x14:conditionalFormatting>
        <x14:conditionalFormatting xmlns:xm="http://schemas.microsoft.com/office/excel/2006/main">
          <x14:cfRule type="cellIs" priority="1" operator="equal" id="{21E75A97-69C4-44C1-87C7-FFA28B936F56}">
            <xm:f>ANSWERS!$C$14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08BB-A76A-4D04-880C-22729C54B91D}">
  <dimension ref="B2:AU33"/>
  <sheetViews>
    <sheetView showGridLines="0" showRowColHeaders="0" zoomScale="95" zoomScaleNormal="95" workbookViewId="0">
      <selection activeCell="AT28" sqref="AT28"/>
    </sheetView>
  </sheetViews>
  <sheetFormatPr baseColWidth="10" defaultRowHeight="15" x14ac:dyDescent="0.25"/>
  <cols>
    <col min="1" max="41" width="2.7109375" customWidth="1"/>
    <col min="42" max="42" width="61.5703125" customWidth="1"/>
    <col min="43" max="43" width="18.7109375" customWidth="1"/>
    <col min="44" max="44" width="7.140625" customWidth="1"/>
    <col min="45" max="45" width="3.28515625" customWidth="1"/>
    <col min="46" max="46" width="56.42578125" customWidth="1"/>
    <col min="47" max="47" width="18.85546875" customWidth="1"/>
  </cols>
  <sheetData>
    <row r="2" spans="41:47" ht="15.75" thickBot="1" x14ac:dyDescent="0.3">
      <c r="AO2" s="2"/>
      <c r="AP2" s="2"/>
      <c r="AQ2" s="2"/>
      <c r="AR2" s="2"/>
    </row>
    <row r="3" spans="41:47" ht="15.75" thickBot="1" x14ac:dyDescent="0.3">
      <c r="AP3" s="26" t="s">
        <v>52</v>
      </c>
      <c r="AS3" s="1"/>
      <c r="AT3" s="26" t="s">
        <v>6</v>
      </c>
    </row>
    <row r="4" spans="41:47" ht="15.75" thickBot="1" x14ac:dyDescent="0.3">
      <c r="AO4" s="12">
        <v>1</v>
      </c>
      <c r="AP4" s="27"/>
      <c r="AQ4" s="14"/>
      <c r="AS4" s="12">
        <v>9</v>
      </c>
      <c r="AT4" s="33"/>
      <c r="AU4" s="14"/>
    </row>
    <row r="5" spans="41:47" ht="15.75" thickBot="1" x14ac:dyDescent="0.3">
      <c r="AO5" s="3"/>
      <c r="AP5" s="28"/>
      <c r="AQ5" s="3"/>
      <c r="AS5" s="3"/>
      <c r="AT5" s="28"/>
      <c r="AU5" s="3"/>
    </row>
    <row r="6" spans="41:47" ht="15.75" thickBot="1" x14ac:dyDescent="0.3">
      <c r="AO6" s="2"/>
      <c r="AP6" s="26" t="s">
        <v>53</v>
      </c>
      <c r="AQ6" s="3"/>
      <c r="AS6" s="2"/>
      <c r="AT6" s="26" t="s">
        <v>8</v>
      </c>
      <c r="AU6" s="3"/>
    </row>
    <row r="7" spans="41:47" ht="15.75" thickBot="1" x14ac:dyDescent="0.3">
      <c r="AO7" s="12">
        <v>2</v>
      </c>
      <c r="AP7" s="27"/>
      <c r="AQ7" s="14"/>
      <c r="AS7" s="12">
        <v>10</v>
      </c>
      <c r="AT7" s="27"/>
      <c r="AU7" s="14"/>
    </row>
    <row r="8" spans="41:47" ht="15.75" thickBot="1" x14ac:dyDescent="0.3">
      <c r="AO8" s="3"/>
      <c r="AP8" s="28"/>
      <c r="AQ8" s="3"/>
      <c r="AS8" s="3"/>
      <c r="AT8" s="28"/>
      <c r="AU8" s="3"/>
    </row>
    <row r="9" spans="41:47" ht="15.75" thickBot="1" x14ac:dyDescent="0.3">
      <c r="AO9" s="2"/>
      <c r="AP9" s="26" t="s">
        <v>0</v>
      </c>
      <c r="AQ9" s="3"/>
      <c r="AS9" s="2"/>
      <c r="AT9" s="26" t="s">
        <v>9</v>
      </c>
      <c r="AU9" s="3"/>
    </row>
    <row r="10" spans="41:47" ht="15.75" thickBot="1" x14ac:dyDescent="0.3">
      <c r="AO10" s="12">
        <v>3</v>
      </c>
      <c r="AP10" s="27"/>
      <c r="AQ10" s="14"/>
      <c r="AS10" s="12">
        <v>11</v>
      </c>
      <c r="AT10" s="27"/>
      <c r="AU10" s="16"/>
    </row>
    <row r="11" spans="41:47" ht="15.75" thickBot="1" x14ac:dyDescent="0.3">
      <c r="AO11" s="3"/>
      <c r="AP11" s="28"/>
      <c r="AQ11" s="3"/>
      <c r="AS11" s="3"/>
      <c r="AT11" s="28"/>
      <c r="AU11" s="3"/>
    </row>
    <row r="12" spans="41:47" ht="15.75" thickBot="1" x14ac:dyDescent="0.3">
      <c r="AO12" s="2"/>
      <c r="AP12" s="26" t="s">
        <v>1</v>
      </c>
      <c r="AQ12" s="3"/>
      <c r="AS12" s="2"/>
      <c r="AT12" s="26" t="s">
        <v>14</v>
      </c>
      <c r="AU12" s="3"/>
    </row>
    <row r="13" spans="41:47" ht="15.75" thickBot="1" x14ac:dyDescent="0.3">
      <c r="AO13" s="12">
        <v>4</v>
      </c>
      <c r="AP13" s="27"/>
      <c r="AQ13" s="16"/>
      <c r="AS13" s="12">
        <v>12</v>
      </c>
      <c r="AT13" s="27"/>
      <c r="AU13" s="14"/>
    </row>
    <row r="14" spans="41:47" ht="15.75" thickBot="1" x14ac:dyDescent="0.3">
      <c r="AO14" s="3"/>
      <c r="AP14" s="28"/>
      <c r="AQ14" s="3"/>
      <c r="AS14" s="3"/>
      <c r="AT14" s="28"/>
      <c r="AU14" s="3"/>
    </row>
    <row r="15" spans="41:47" ht="15" customHeight="1" thickBot="1" x14ac:dyDescent="0.3">
      <c r="AO15" s="2"/>
      <c r="AP15" s="29" t="s">
        <v>2</v>
      </c>
      <c r="AQ15" s="3"/>
      <c r="AS15" s="2"/>
      <c r="AT15" s="26" t="s">
        <v>15</v>
      </c>
      <c r="AU15" s="3"/>
    </row>
    <row r="16" spans="41:47" ht="15.75" thickBot="1" x14ac:dyDescent="0.3">
      <c r="AO16" s="12">
        <v>5</v>
      </c>
      <c r="AP16" s="31"/>
      <c r="AQ16" s="16"/>
      <c r="AS16" s="12">
        <v>13</v>
      </c>
      <c r="AT16" s="27"/>
      <c r="AU16" s="16"/>
    </row>
    <row r="17" spans="2:47" ht="15.75" thickBot="1" x14ac:dyDescent="0.3">
      <c r="AO17" s="3"/>
      <c r="AP17" s="31"/>
      <c r="AQ17" s="3"/>
      <c r="AS17" s="3"/>
      <c r="AT17" s="28"/>
      <c r="AU17" s="3"/>
    </row>
    <row r="18" spans="2:47" ht="15.75" thickBot="1" x14ac:dyDescent="0.3">
      <c r="AO18" s="13"/>
      <c r="AP18" s="32"/>
      <c r="AQ18" s="15"/>
      <c r="AS18" s="2"/>
      <c r="AT18" s="26" t="s">
        <v>13</v>
      </c>
      <c r="AU18" s="3"/>
    </row>
    <row r="19" spans="2:47" ht="15.75" thickBot="1" x14ac:dyDescent="0.3">
      <c r="AO19" s="2"/>
      <c r="AP19" s="26" t="s">
        <v>3</v>
      </c>
      <c r="AQ19" s="3"/>
      <c r="AS19" s="12">
        <v>14</v>
      </c>
      <c r="AT19" s="27"/>
      <c r="AU19" s="14"/>
    </row>
    <row r="20" spans="2:47" ht="15.75" thickBot="1" x14ac:dyDescent="0.3">
      <c r="AO20" s="12">
        <v>6</v>
      </c>
      <c r="AP20" s="27"/>
      <c r="AQ20" s="16"/>
      <c r="AS20" s="3"/>
      <c r="AT20" s="28"/>
      <c r="AU20" s="3"/>
    </row>
    <row r="21" spans="2:47" ht="15.75" thickBot="1" x14ac:dyDescent="0.3">
      <c r="B21" s="1"/>
      <c r="C21" s="1"/>
      <c r="AI21" s="1"/>
      <c r="AJ21" s="1"/>
      <c r="AK21" s="1"/>
      <c r="AL21" s="1"/>
      <c r="AO21" s="3"/>
      <c r="AP21" s="28"/>
      <c r="AQ21" s="3"/>
      <c r="AS21" s="2"/>
      <c r="AT21" s="26" t="s">
        <v>10</v>
      </c>
      <c r="AU21" s="3"/>
    </row>
    <row r="22" spans="2:47" ht="15.75" thickBot="1" x14ac:dyDescent="0.3">
      <c r="AI22" s="1"/>
      <c r="AJ22" s="1"/>
      <c r="AK22" s="1"/>
      <c r="AL22" s="1"/>
      <c r="AO22" s="2"/>
      <c r="AP22" s="29" t="s">
        <v>5</v>
      </c>
      <c r="AQ22" s="3"/>
      <c r="AS22" s="12">
        <v>15</v>
      </c>
      <c r="AT22" s="27"/>
      <c r="AU22" s="14"/>
    </row>
    <row r="23" spans="2:47" ht="15.75" thickBot="1" x14ac:dyDescent="0.3">
      <c r="AO23" s="12">
        <v>7</v>
      </c>
      <c r="AP23" s="31"/>
      <c r="AQ23" s="16"/>
      <c r="AS23" s="3"/>
      <c r="AT23" s="28"/>
      <c r="AU23" s="3"/>
    </row>
    <row r="24" spans="2:47" ht="15.75" thickBot="1" x14ac:dyDescent="0.3">
      <c r="AO24" s="3"/>
      <c r="AP24" s="31"/>
      <c r="AQ24" s="3"/>
      <c r="AS24" s="2"/>
      <c r="AT24" s="26" t="s">
        <v>42</v>
      </c>
      <c r="AU24" s="3"/>
    </row>
    <row r="25" spans="2:47" ht="15.75" thickBot="1" x14ac:dyDescent="0.3">
      <c r="N25" s="8"/>
      <c r="O25" s="8"/>
      <c r="P25" s="8"/>
      <c r="Q25" s="8"/>
      <c r="R25" s="8"/>
      <c r="S25" s="5"/>
      <c r="T25" s="5"/>
      <c r="U25" s="5"/>
      <c r="V25" s="5"/>
      <c r="W25" s="5"/>
      <c r="X25" s="5"/>
      <c r="Y25" s="5"/>
      <c r="Z25" s="8"/>
      <c r="AA25" s="8"/>
      <c r="AB25" s="5"/>
      <c r="AC25" s="8"/>
      <c r="AD25" s="8"/>
      <c r="AJ25" s="8"/>
      <c r="AK25" s="8"/>
      <c r="AO25" s="13"/>
      <c r="AP25" s="32"/>
      <c r="AQ25" s="15"/>
      <c r="AS25" s="12">
        <v>16</v>
      </c>
      <c r="AT25" s="27"/>
      <c r="AU25" s="14"/>
    </row>
    <row r="26" spans="2:47" ht="18.95" customHeight="1" thickBot="1" x14ac:dyDescent="0.4">
      <c r="D26" s="9" t="str">
        <f>IF(OR(AP32=AT32,AU13="INVARIANT"),"I","")</f>
        <v/>
      </c>
      <c r="E26" s="9" t="str">
        <f>IF(OR(AP32=AT32,AU16="NODE"),"N","")</f>
        <v/>
      </c>
      <c r="F26" s="9" t="str">
        <f>IF(OR(AP32=AT32,AQ27="FAULT"),"F","")</f>
        <v/>
      </c>
      <c r="G26" s="9" t="str">
        <f>IF(OR(AP32=AT32,AQ10="REQUIREMENTS"),"R","")</f>
        <v/>
      </c>
      <c r="H26" s="9" t="str">
        <f>IF(OR(AQ7="ALPHA",AP32=AT32),"A","")</f>
        <v/>
      </c>
      <c r="I26" s="9" t="str">
        <f>IF(OR(AP32=AT32,AQ13="STAKEHOLDERS"),"S","")</f>
        <v/>
      </c>
      <c r="J26" s="9" t="str">
        <f>IF(OR(AP32=AT32,AQ4="TRANSITION"),"T","")</f>
        <v/>
      </c>
      <c r="K26" s="9" t="str">
        <f>IF(OR(AP32=AT32,AQ10="REQUIREMENTS"),"R","")</f>
        <v/>
      </c>
      <c r="L26" s="9" t="str">
        <f>IF(OR(AP32=AT32,AU10="USABILITY"),"U","")</f>
        <v/>
      </c>
      <c r="M26" s="9" t="str">
        <f>IF(OR(AP32=AT32,AQ20="CONSTRAINTS"),"C","")</f>
        <v/>
      </c>
      <c r="N26" s="9" t="str">
        <f>IF(OR(AP32=AT32,AQ4="TRANSITION"),"T","")</f>
        <v/>
      </c>
      <c r="O26" s="9" t="str">
        <f>IF(OR(AP32=AT32,AU10="USABILITY"),"U","")</f>
        <v/>
      </c>
      <c r="P26" s="9" t="str">
        <f>IF(OR(AP32=AT32,AQ10="REQUIREMENTS"),"R","")</f>
        <v/>
      </c>
      <c r="Q26" s="9" t="str">
        <f>IF(OR(AP32=AT32,AQ23="ERROR"),"E","")</f>
        <v/>
      </c>
      <c r="R26" s="11"/>
      <c r="S26" s="9" t="str">
        <f>IF(OR(AP32=AT32,AQ13="STAKEHOLDERS"),"S","")</f>
        <v/>
      </c>
      <c r="T26" s="9" t="str">
        <f>IF(OR(AP32=AT32,AU7="PATTERN"),"P","")</f>
        <v/>
      </c>
      <c r="U26" s="9" t="str">
        <f>IF(OR(AP32=AT32,AQ23="ERROR"),"E","")</f>
        <v/>
      </c>
      <c r="V26" s="9" t="str">
        <f>IF(OR(AP32=AT32,AQ20="CONSTRAINTS"),"C","")</f>
        <v/>
      </c>
      <c r="W26" s="9" t="str">
        <f>IF(OR(AP32=AT32,AU13="INVARIANT"),"I","")</f>
        <v/>
      </c>
      <c r="X26" s="9" t="str">
        <f>IF(OR(AQ7="ALPHA",AP32=AT32),"A","")</f>
        <v/>
      </c>
      <c r="Y26" s="9" t="str">
        <f>IF(OR(AP32=AT32,AU4="LEADERSHIP"),"L","")</f>
        <v/>
      </c>
      <c r="Z26" s="9" t="str">
        <f>IF(OR(AP32=AT32,AU13="INVARIANT"),"I","")</f>
        <v/>
      </c>
      <c r="AA26" s="9" t="str">
        <f>IF(OR(AP32=AT32,AQ13="STAKEHOLDERS"),"S","")</f>
        <v/>
      </c>
      <c r="AB26" s="9" t="str">
        <f>IF(OR(AP32=AT32,AQ4="TRANSITION"),"T","")</f>
        <v/>
      </c>
      <c r="AC26" s="9" t="str">
        <f>IF(OR(AP32=AT32,AQ13="STAKEHOLDERS"),"S","")</f>
        <v/>
      </c>
      <c r="AD26" s="11"/>
      <c r="AE26" s="9" t="str">
        <f>IF(OR(AP32=AT32,AU16="NODE"),"N","")</f>
        <v/>
      </c>
      <c r="AF26" s="9" t="str">
        <f>IF(OR(AP32=AT32,AQ23="ERROR"),"E","")</f>
        <v/>
      </c>
      <c r="AG26" s="9" t="str">
        <f>IF(OR(AP32=AT32,AQ23="ERROR"),"E","")</f>
        <v/>
      </c>
      <c r="AH26" s="9" t="str">
        <f>IF(OR(AQ16="DEBUG",AP32=AT32),"D","")</f>
        <v/>
      </c>
      <c r="AO26" s="2"/>
      <c r="AP26" s="26" t="s">
        <v>35</v>
      </c>
      <c r="AQ26" s="3"/>
      <c r="AT26" s="28"/>
    </row>
    <row r="27" spans="2:47" ht="18.95" customHeight="1" thickBot="1" x14ac:dyDescent="0.3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O27" s="12">
        <v>8</v>
      </c>
      <c r="AP27" s="27"/>
      <c r="AQ27" s="14"/>
      <c r="AS27" s="8"/>
      <c r="AT27" s="5"/>
      <c r="AU27" s="5"/>
    </row>
    <row r="28" spans="2:47" ht="18.95" customHeight="1" thickBot="1" x14ac:dyDescent="0.4">
      <c r="D28" s="11"/>
      <c r="E28" s="11"/>
      <c r="F28" s="11"/>
      <c r="G28" s="11"/>
      <c r="H28" s="11"/>
      <c r="I28" s="11"/>
      <c r="J28" s="11"/>
      <c r="K28" s="11"/>
      <c r="L28" s="11"/>
      <c r="M28" s="9" t="str">
        <f>IF(OR(AP32=AT32,AQ20="CONSTRAINTS"),"C","")</f>
        <v/>
      </c>
      <c r="N28" s="9" t="str">
        <f>IF(OR(AP32=AT32,AU19="OPPORTUNITY"),"O","")</f>
        <v/>
      </c>
      <c r="O28" s="9" t="str">
        <f>IF(OR(AQ16="DEBUG",AP32=AT32),"D","")</f>
        <v/>
      </c>
      <c r="P28" s="9" t="str">
        <f>IF(OR(AP32=AT32,AU13="INVARIANT"),"I","")</f>
        <v/>
      </c>
      <c r="Q28" s="9" t="str">
        <f>IF(OR(AP32=AT32,AU16="NODE"),"N","")</f>
        <v/>
      </c>
      <c r="R28" s="9" t="str">
        <f>IF(OR(AP32=AT32,AU22="GENERALITY"),"G","")</f>
        <v/>
      </c>
      <c r="S28" s="11"/>
      <c r="T28" s="9" t="str">
        <f>IF(OR(AP32=AT32,AQ13="STAKEHOLDERS"),"S","")</f>
        <v/>
      </c>
      <c r="U28" s="9" t="str">
        <f>IF(OR(AU25="KERNEL",AP32=AT32),"K","")</f>
        <v/>
      </c>
      <c r="V28" s="9" t="str">
        <f>IF(OR(AP32=AT32,AU13="INVARIANT"),"I","")</f>
        <v/>
      </c>
      <c r="W28" s="9" t="str">
        <f>IF(OR(AP32=AT32,AU4="LEADERSHIP"),"L","")</f>
        <v/>
      </c>
      <c r="X28" s="9" t="str">
        <f>IF(OR(AP32=AT32,AU4="LEADERSHIP"),"L","")</f>
        <v/>
      </c>
      <c r="Y28" s="9" t="str">
        <f>IF(OR(AP32=AT32,AQ13="STAKEHOLDERS"),"S","")</f>
        <v/>
      </c>
      <c r="Z28" s="11"/>
      <c r="AA28" s="11"/>
      <c r="AB28" s="11"/>
      <c r="AC28" s="10"/>
      <c r="AD28" s="10"/>
      <c r="AE28" s="10"/>
      <c r="AF28" s="10"/>
      <c r="AG28" s="10"/>
      <c r="AH28" s="10"/>
      <c r="AP28" s="28"/>
      <c r="AS28" s="8"/>
      <c r="AT28" s="5"/>
      <c r="AU28" s="5"/>
    </row>
    <row r="30" spans="2:47" ht="15.75" x14ac:dyDescent="0.25">
      <c r="AS30" s="6"/>
    </row>
    <row r="31" spans="2:47" ht="15.75" thickBot="1" x14ac:dyDescent="0.3">
      <c r="AP31" s="3" t="s">
        <v>16</v>
      </c>
    </row>
    <row r="32" spans="2:47" ht="33" customHeight="1" thickBot="1" x14ac:dyDescent="0.3">
      <c r="AP32" s="17"/>
      <c r="AT32" s="7" t="s">
        <v>41</v>
      </c>
    </row>
    <row r="33" spans="43:43" x14ac:dyDescent="0.25">
      <c r="AQ33" s="5"/>
    </row>
  </sheetData>
  <mergeCells count="16">
    <mergeCell ref="AP3:AP5"/>
    <mergeCell ref="AT3:AT5"/>
    <mergeCell ref="AP6:AP8"/>
    <mergeCell ref="AT6:AT8"/>
    <mergeCell ref="AP9:AP11"/>
    <mergeCell ref="AT9:AT11"/>
    <mergeCell ref="AP26:AP28"/>
    <mergeCell ref="AT24:AT26"/>
    <mergeCell ref="AP12:AP14"/>
    <mergeCell ref="AT12:AT14"/>
    <mergeCell ref="AP15:AP18"/>
    <mergeCell ref="AT15:AT17"/>
    <mergeCell ref="AT18:AT20"/>
    <mergeCell ref="AP19:AP21"/>
    <mergeCell ref="AT21:AT23"/>
    <mergeCell ref="AP22:AP25"/>
  </mergeCells>
  <conditionalFormatting sqref="AP32">
    <cfRule type="cellIs" dxfId="32" priority="17" operator="equal">
      <formula>$AT$32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" operator="equal" id="{ED41B24F-E819-420C-8113-3CC0FBD300C2}">
            <xm:f>ANSWERS!$D$2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AQ4</xm:sqref>
        </x14:conditionalFormatting>
        <x14:conditionalFormatting xmlns:xm="http://schemas.microsoft.com/office/excel/2006/main">
          <x14:cfRule type="cellIs" priority="15" operator="equal" id="{5890AFCE-8C0F-4FFD-9C8E-7F58D5982787}">
            <xm:f>ANSWERS!$D$3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AQ7</xm:sqref>
        </x14:conditionalFormatting>
        <x14:conditionalFormatting xmlns:xm="http://schemas.microsoft.com/office/excel/2006/main">
          <x14:cfRule type="cellIs" priority="14" operator="equal" id="{B05371BA-51D1-4E5E-A314-B04B9ADF6F2B}">
            <xm:f>ANSWERS!$D$4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AQ10</xm:sqref>
        </x14:conditionalFormatting>
        <x14:conditionalFormatting xmlns:xm="http://schemas.microsoft.com/office/excel/2006/main">
          <x14:cfRule type="cellIs" priority="13" operator="equal" id="{D52567C2-991F-4C7A-BB3B-4EA22D5051B6}">
            <xm:f>ANSWERS!$D$5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ellIs" priority="12" operator="equal" id="{B3C29B1B-CC99-413C-9E96-A6A8F9B865F2}">
            <xm:f>ANSWERS!$D$6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AQ16</xm:sqref>
        </x14:conditionalFormatting>
        <x14:conditionalFormatting xmlns:xm="http://schemas.microsoft.com/office/excel/2006/main">
          <x14:cfRule type="cellIs" priority="11" operator="equal" id="{4C7537CE-1B02-487E-9EFF-759FD3924A65}">
            <xm:f>ANSWERS!$D$7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AQ20</xm:sqref>
        </x14:conditionalFormatting>
        <x14:conditionalFormatting xmlns:xm="http://schemas.microsoft.com/office/excel/2006/main">
          <x14:cfRule type="cellIs" priority="10" operator="equal" id="{DDEB1B43-DE67-4289-96C7-701D400D27FB}">
            <xm:f>ANSWERS!$D$8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AQ23</xm:sqref>
        </x14:conditionalFormatting>
        <x14:conditionalFormatting xmlns:xm="http://schemas.microsoft.com/office/excel/2006/main">
          <x14:cfRule type="cellIs" priority="9" operator="equal" id="{FE2E34D1-9BBD-47E2-9F24-DAC0167C6DD9}">
            <xm:f>ANSWERS!$D$9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AQ27</xm:sqref>
        </x14:conditionalFormatting>
        <x14:conditionalFormatting xmlns:xm="http://schemas.microsoft.com/office/excel/2006/main">
          <x14:cfRule type="cellIs" priority="8" operator="equal" id="{BBD88262-D82C-4298-AEBF-2A1EF5EF26EA}">
            <xm:f>ANSWERS!$D$10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AU4</xm:sqref>
        </x14:conditionalFormatting>
        <x14:conditionalFormatting xmlns:xm="http://schemas.microsoft.com/office/excel/2006/main">
          <x14:cfRule type="cellIs" priority="7" operator="equal" id="{99B02293-AFE5-4468-977E-F89F48495B23}">
            <xm:f>ANSWERS!$D$11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AU7</xm:sqref>
        </x14:conditionalFormatting>
        <x14:conditionalFormatting xmlns:xm="http://schemas.microsoft.com/office/excel/2006/main">
          <x14:cfRule type="cellIs" priority="6" operator="equal" id="{D498079F-476D-41FC-B1A1-5C251007B97E}">
            <xm:f>ANSWERS!$D$12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AU10</xm:sqref>
        </x14:conditionalFormatting>
        <x14:conditionalFormatting xmlns:xm="http://schemas.microsoft.com/office/excel/2006/main">
          <x14:cfRule type="cellIs" priority="5" operator="equal" id="{74FE9D2B-E41F-4A19-9472-9A5CC75482F7}">
            <xm:f>ANSWERS!$D$13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AU13</xm:sqref>
        </x14:conditionalFormatting>
        <x14:conditionalFormatting xmlns:xm="http://schemas.microsoft.com/office/excel/2006/main">
          <x14:cfRule type="cellIs" priority="4" operator="equal" id="{7A907777-C867-43C8-BDF9-D24C35895DE3}">
            <xm:f>ANSWERS!$D$14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AU16</xm:sqref>
        </x14:conditionalFormatting>
        <x14:conditionalFormatting xmlns:xm="http://schemas.microsoft.com/office/excel/2006/main">
          <x14:cfRule type="cellIs" priority="3" operator="equal" id="{4D3A038D-8543-4036-8347-EC750349E857}">
            <xm:f>ANSWERS!$D$15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AU19</xm:sqref>
        </x14:conditionalFormatting>
        <x14:conditionalFormatting xmlns:xm="http://schemas.microsoft.com/office/excel/2006/main">
          <x14:cfRule type="cellIs" priority="2" operator="equal" id="{7B24BE42-6541-4ED0-9DC8-00D1223DAFD1}">
            <xm:f>ANSWERS!$D$16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AU22</xm:sqref>
        </x14:conditionalFormatting>
        <x14:conditionalFormatting xmlns:xm="http://schemas.microsoft.com/office/excel/2006/main">
          <x14:cfRule type="cellIs" priority="1" operator="equal" id="{37720DFA-2C6A-4C10-A069-E1A0734226F4}">
            <xm:f>ANSWERS!$D$17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9743-B734-435F-BEEE-3B1189B9540A}">
  <dimension ref="B2:AU33"/>
  <sheetViews>
    <sheetView showGridLines="0" showRowColHeaders="0" zoomScale="95" zoomScaleNormal="95" workbookViewId="0">
      <selection activeCell="AT27" sqref="AT27:AT29"/>
    </sheetView>
  </sheetViews>
  <sheetFormatPr baseColWidth="10" defaultRowHeight="15" x14ac:dyDescent="0.25"/>
  <cols>
    <col min="1" max="41" width="2.7109375" customWidth="1"/>
    <col min="42" max="42" width="62.85546875" customWidth="1"/>
    <col min="43" max="43" width="18.7109375" customWidth="1"/>
    <col min="44" max="44" width="6" customWidth="1"/>
    <col min="45" max="45" width="3.28515625" customWidth="1"/>
    <col min="46" max="46" width="56.42578125" customWidth="1"/>
    <col min="47" max="47" width="18.85546875" customWidth="1"/>
  </cols>
  <sheetData>
    <row r="2" spans="41:47" ht="15.75" thickBot="1" x14ac:dyDescent="0.3">
      <c r="AO2" s="2"/>
      <c r="AP2" s="2"/>
      <c r="AQ2" s="2"/>
      <c r="AR2" s="2"/>
    </row>
    <row r="3" spans="41:47" ht="15.75" thickBot="1" x14ac:dyDescent="0.3">
      <c r="AP3" s="26" t="s">
        <v>52</v>
      </c>
      <c r="AS3" s="1"/>
      <c r="AT3" s="26" t="s">
        <v>7</v>
      </c>
    </row>
    <row r="4" spans="41:47" ht="15.75" thickBot="1" x14ac:dyDescent="0.3">
      <c r="AO4" s="12">
        <v>1</v>
      </c>
      <c r="AP4" s="33"/>
      <c r="AQ4" s="14"/>
      <c r="AS4" s="12">
        <v>9</v>
      </c>
      <c r="AT4" s="27"/>
      <c r="AU4" s="14"/>
    </row>
    <row r="5" spans="41:47" ht="15.75" thickBot="1" x14ac:dyDescent="0.3">
      <c r="AO5" s="3"/>
      <c r="AP5" s="28"/>
      <c r="AQ5" s="3"/>
      <c r="AS5" s="3"/>
      <c r="AT5" s="28"/>
      <c r="AU5" s="3"/>
    </row>
    <row r="6" spans="41:47" ht="15.75" thickBot="1" x14ac:dyDescent="0.3">
      <c r="AO6" s="2"/>
      <c r="AP6" s="26" t="s">
        <v>53</v>
      </c>
      <c r="AQ6" s="3"/>
      <c r="AS6" s="2"/>
      <c r="AT6" s="26" t="s">
        <v>8</v>
      </c>
      <c r="AU6" s="3"/>
    </row>
    <row r="7" spans="41:47" ht="15.75" thickBot="1" x14ac:dyDescent="0.3">
      <c r="AO7" s="12">
        <v>2</v>
      </c>
      <c r="AP7" s="33"/>
      <c r="AQ7" s="14"/>
      <c r="AS7" s="12">
        <v>10</v>
      </c>
      <c r="AT7" s="27"/>
      <c r="AU7" s="14"/>
    </row>
    <row r="8" spans="41:47" ht="15.75" thickBot="1" x14ac:dyDescent="0.3">
      <c r="AO8" s="3"/>
      <c r="AP8" s="28"/>
      <c r="AQ8" s="3"/>
      <c r="AS8" s="3"/>
      <c r="AT8" s="28"/>
      <c r="AU8" s="3"/>
    </row>
    <row r="9" spans="41:47" ht="15.75" thickBot="1" x14ac:dyDescent="0.3">
      <c r="AO9" s="2"/>
      <c r="AP9" s="26" t="s">
        <v>0</v>
      </c>
      <c r="AQ9" s="3"/>
      <c r="AS9" s="2"/>
      <c r="AT9" s="26" t="s">
        <v>9</v>
      </c>
      <c r="AU9" s="3"/>
    </row>
    <row r="10" spans="41:47" ht="15.75" thickBot="1" x14ac:dyDescent="0.3">
      <c r="AO10" s="12">
        <v>3</v>
      </c>
      <c r="AP10" s="33"/>
      <c r="AQ10" s="14"/>
      <c r="AS10" s="12">
        <v>11</v>
      </c>
      <c r="AT10" s="27"/>
      <c r="AU10" s="14"/>
    </row>
    <row r="11" spans="41:47" ht="15.75" thickBot="1" x14ac:dyDescent="0.3">
      <c r="AO11" s="3"/>
      <c r="AP11" s="28"/>
      <c r="AQ11" s="3"/>
      <c r="AS11" s="3"/>
      <c r="AT11" s="28"/>
      <c r="AU11" s="3"/>
    </row>
    <row r="12" spans="41:47" ht="15.75" thickBot="1" x14ac:dyDescent="0.3">
      <c r="AO12" s="2"/>
      <c r="AP12" s="26" t="s">
        <v>1</v>
      </c>
      <c r="AQ12" s="3"/>
      <c r="AS12" s="2"/>
      <c r="AT12" s="26" t="s">
        <v>12</v>
      </c>
      <c r="AU12" s="3"/>
    </row>
    <row r="13" spans="41:47" ht="15.75" thickBot="1" x14ac:dyDescent="0.3">
      <c r="AO13" s="12">
        <v>4</v>
      </c>
      <c r="AP13" s="33"/>
      <c r="AQ13" s="14"/>
      <c r="AS13" s="12">
        <v>12</v>
      </c>
      <c r="AT13" s="36"/>
      <c r="AU13" s="14"/>
    </row>
    <row r="14" spans="41:47" ht="15.75" thickBot="1" x14ac:dyDescent="0.3">
      <c r="AO14" s="3"/>
      <c r="AP14" s="28"/>
      <c r="AQ14" s="3"/>
      <c r="AS14" s="3"/>
      <c r="AT14" s="37"/>
      <c r="AU14" s="3"/>
    </row>
    <row r="15" spans="41:47" ht="15" customHeight="1" thickBot="1" x14ac:dyDescent="0.3">
      <c r="AO15" s="2"/>
      <c r="AP15" s="29" t="s">
        <v>2</v>
      </c>
      <c r="AQ15" s="3"/>
      <c r="AS15" s="2"/>
      <c r="AT15" s="26" t="s">
        <v>13</v>
      </c>
      <c r="AU15" s="3"/>
    </row>
    <row r="16" spans="41:47" ht="15.75" thickBot="1" x14ac:dyDescent="0.3">
      <c r="AO16" s="12">
        <v>5</v>
      </c>
      <c r="AP16" s="30"/>
      <c r="AQ16" s="14"/>
      <c r="AS16" s="12">
        <v>13</v>
      </c>
      <c r="AT16" s="36"/>
      <c r="AU16" s="14"/>
    </row>
    <row r="17" spans="2:47" ht="15.75" thickBot="1" x14ac:dyDescent="0.3">
      <c r="AO17" s="3"/>
      <c r="AP17" s="31"/>
      <c r="AQ17" s="3"/>
      <c r="AS17" s="3"/>
      <c r="AT17" s="37"/>
      <c r="AU17" s="3"/>
    </row>
    <row r="18" spans="2:47" ht="15.75" thickBot="1" x14ac:dyDescent="0.3">
      <c r="AO18" s="13"/>
      <c r="AP18" s="32"/>
      <c r="AQ18" s="15"/>
      <c r="AS18" s="2"/>
      <c r="AT18" s="26" t="s">
        <v>14</v>
      </c>
      <c r="AU18" s="3"/>
    </row>
    <row r="19" spans="2:47" ht="15.75" thickBot="1" x14ac:dyDescent="0.3">
      <c r="AO19" s="2"/>
      <c r="AP19" s="26" t="s">
        <v>3</v>
      </c>
      <c r="AQ19" s="3"/>
      <c r="AS19" s="12">
        <v>14</v>
      </c>
      <c r="AT19" s="27"/>
      <c r="AU19" s="14"/>
    </row>
    <row r="20" spans="2:47" ht="15.75" thickBot="1" x14ac:dyDescent="0.3">
      <c r="AO20" s="12">
        <v>6</v>
      </c>
      <c r="AP20" s="33"/>
      <c r="AQ20" s="14"/>
      <c r="AS20" s="3"/>
      <c r="AT20" s="28"/>
      <c r="AU20" s="3"/>
    </row>
    <row r="21" spans="2:47" ht="15.75" customHeight="1" thickBot="1" x14ac:dyDescent="0.3">
      <c r="B21" s="1"/>
      <c r="C21" s="1"/>
      <c r="AK21" s="1"/>
      <c r="AL21" s="1"/>
      <c r="AO21" s="3"/>
      <c r="AP21" s="28"/>
      <c r="AQ21" s="3"/>
      <c r="AS21" s="2"/>
      <c r="AT21" s="26" t="s">
        <v>15</v>
      </c>
      <c r="AU21" s="3"/>
    </row>
    <row r="22" spans="2:47" ht="15.75" thickBot="1" x14ac:dyDescent="0.3">
      <c r="AK22" s="1"/>
      <c r="AL22" s="1"/>
      <c r="AO22" s="2"/>
      <c r="AP22" s="29" t="s">
        <v>5</v>
      </c>
      <c r="AQ22" s="3"/>
      <c r="AS22" s="12">
        <v>15</v>
      </c>
      <c r="AT22" s="27"/>
      <c r="AU22" s="14"/>
    </row>
    <row r="23" spans="2:47" ht="15.75" thickBot="1" x14ac:dyDescent="0.3">
      <c r="AO23" s="12">
        <v>7</v>
      </c>
      <c r="AP23" s="30"/>
      <c r="AQ23" s="14"/>
      <c r="AT23" s="28"/>
    </row>
    <row r="24" spans="2:47" x14ac:dyDescent="0.25">
      <c r="AO24" s="3"/>
      <c r="AP24" s="31"/>
      <c r="AQ24" s="3"/>
      <c r="AS24" s="8"/>
      <c r="AT24" s="34"/>
      <c r="AU24" s="5"/>
    </row>
    <row r="25" spans="2:47" ht="15.75" thickBot="1" x14ac:dyDescent="0.3">
      <c r="AO25" s="13"/>
      <c r="AP25" s="32"/>
      <c r="AQ25" s="15"/>
      <c r="AS25" s="8"/>
      <c r="AT25" s="35"/>
      <c r="AU25" s="8"/>
    </row>
    <row r="26" spans="2:47" ht="18.95" customHeight="1" thickBot="1" x14ac:dyDescent="0.4">
      <c r="D26" s="9" t="str">
        <f>IF(OR(AQ16="DEBUG",AP32=AT32),"D","")</f>
        <v/>
      </c>
      <c r="E26" s="9" t="str">
        <f>IF(OR(AP32=AT32,AQ23="ERROR"),"E","")</f>
        <v/>
      </c>
      <c r="F26" s="9" t="str">
        <f>IF(OR(AP32=AT32,AU13="VARIABLE"),"V","")</f>
        <v/>
      </c>
      <c r="G26" s="9" t="str">
        <f>IF(OR(AP32=AT32,AQ23="ERROR"),"E","")</f>
        <v/>
      </c>
      <c r="H26" s="9" t="str">
        <f>IF(OR(AP32=AT32,AQ27="LEADERSHIP"),"L","")</f>
        <v/>
      </c>
      <c r="I26" s="9" t="str">
        <f>IF(OR(AP32=AT32,AU16="OPPORTUNITY"),"O","")</f>
        <v/>
      </c>
      <c r="J26" s="9" t="str">
        <f>IF(OR(AP32=AT32,AU7="PATTERN"),"P","")</f>
        <v/>
      </c>
      <c r="K26" s="9" t="str">
        <f>IF(OR(AP32=AT32,AQ23="ERROR"),"E","")</f>
        <v/>
      </c>
      <c r="L26" s="9" t="str">
        <f>IF(OR(AP32=AT32,AQ10="REQUIREMENTS"),"R","")</f>
        <v/>
      </c>
      <c r="M26" s="9" t="str">
        <f>IF(OR(AP32=AT32,AQ13="STAKEHOLDERS"),"S","")</f>
        <v/>
      </c>
      <c r="N26" s="11"/>
      <c r="O26" s="9" t="str">
        <f>IF(OR(AQ7="ALPHA",AP32=AT32),"A","")</f>
        <v/>
      </c>
      <c r="P26" s="9" t="str">
        <f>IF(OR(AP32=AT32,AU10="USABILITY"),"U","")</f>
        <v/>
      </c>
      <c r="Q26" s="9" t="str">
        <f>IF(OR(AP32=AT32,AQ4="TRANSITION"),"T","")</f>
        <v/>
      </c>
      <c r="R26" s="9" t="str">
        <f>IF(OR(AP32=AT32,AU16="OPPORTUNITY"),"O","")</f>
        <v/>
      </c>
      <c r="S26" s="9" t="str">
        <f>IF(OR(AP32=AT32,AU4="METHOD"),"M","")</f>
        <v/>
      </c>
      <c r="T26" s="9" t="str">
        <f>IF(OR(AQ7="ALPHA",AP32=AT32),"A","")</f>
        <v/>
      </c>
      <c r="U26" s="9" t="str">
        <f>IF(OR(AP32=AT32,AQ4="TRANSITION"),"T","")</f>
        <v/>
      </c>
      <c r="V26" s="9" t="str">
        <f>IF(OR(AP32=AT32,AQ23="ERROR"),"E","")</f>
        <v/>
      </c>
      <c r="W26" s="11"/>
      <c r="X26" s="9" t="str">
        <f>IF(OR(AP32=AT32,AU10="USABILITY"),"U","")</f>
        <v/>
      </c>
      <c r="Y26" s="9" t="str">
        <f>IF(OR(AP32=AT32,AU22="NODE"),"N","")</f>
        <v/>
      </c>
      <c r="Z26" s="9" t="str">
        <f>IF(OR(AP32=AT32,AU19="INVARIANT"),"I","")</f>
        <v/>
      </c>
      <c r="AA26" s="9" t="str">
        <f>IF(OR(AP32=AT32,AQ4="TRANSITION"),"T","")</f>
        <v/>
      </c>
      <c r="AB26" s="11"/>
      <c r="AC26" s="9" t="str">
        <f>IF(OR(AP32=AT32,AQ4="TRANSITION"),"T","")</f>
        <v/>
      </c>
      <c r="AD26" s="9" t="str">
        <f>IF(OR(AP32=AT32,AQ23="ERROR"),"E","")</f>
        <v/>
      </c>
      <c r="AE26" s="9" t="str">
        <f>IF(OR(AP32=AT32,AQ13="STAKEHOLDERS"),"S","")</f>
        <v/>
      </c>
      <c r="AF26" s="9" t="str">
        <f>IF(OR(AP32=AT32,AQ4="TRANSITION"),"T","")</f>
        <v/>
      </c>
      <c r="AG26" s="9" t="str">
        <f>IF(OR(AP32=AT32,AQ13="STAKEHOLDERS"),"S","")</f>
        <v/>
      </c>
      <c r="AH26" s="11"/>
      <c r="AI26" s="9" t="str">
        <f>IF(OR(AP32=AT32,AU19="INVARIANT"),"I","")</f>
        <v/>
      </c>
      <c r="AJ26" s="9" t="str">
        <f>IF(OR(AP32=AT32,AU22="NODE"),"N","")</f>
        <v/>
      </c>
      <c r="AO26" s="2"/>
      <c r="AP26" s="26" t="s">
        <v>6</v>
      </c>
      <c r="AQ26" s="3"/>
      <c r="AS26" s="5"/>
      <c r="AT26" s="35"/>
      <c r="AU26" s="5"/>
    </row>
    <row r="27" spans="2:47" ht="18.95" customHeight="1" thickBot="1" x14ac:dyDescent="0.3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5"/>
      <c r="AO27" s="12">
        <v>8</v>
      </c>
      <c r="AP27" s="33"/>
      <c r="AQ27" s="14"/>
      <c r="AS27" s="8"/>
      <c r="AT27" s="34"/>
      <c r="AU27" s="5"/>
    </row>
    <row r="28" spans="2:47" ht="18.95" customHeight="1" thickBot="1" x14ac:dyDescent="0.4"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9" t="str">
        <f>IF(OR(AP32=AT32,AQ13="STAKEHOLDERS"),"S","")</f>
        <v/>
      </c>
      <c r="O28" s="9" t="str">
        <f>IF(OR(AP32=AT32,AU16="OPPORTUNITY"),"O","")</f>
        <v/>
      </c>
      <c r="P28" s="9" t="str">
        <f>IF(OR(AP32=AT32,AU4="METHOD"),"M","")</f>
        <v/>
      </c>
      <c r="Q28" s="9" t="str">
        <f>IF(OR(AP32=AT32,AQ23="ERROR"),"E","")</f>
        <v/>
      </c>
      <c r="R28" s="11"/>
      <c r="S28" s="9" t="str">
        <f>IF(OR(AP32=AT32,AQ20="CONSTRAINTS"),"C","")</f>
        <v/>
      </c>
      <c r="T28" s="9" t="str">
        <f>IF(OR(AP32=AT32,AU16="OPPORTUNITY"),"O","")</f>
        <v/>
      </c>
      <c r="U28" s="9" t="str">
        <f>IF(OR(AP32=AT32,AU4="METHOD"),"M","")</f>
        <v/>
      </c>
      <c r="V28" s="9" t="str">
        <f>IF(OR(AP32=AT32,AU7="PATTERN"),"P","")</f>
        <v/>
      </c>
      <c r="W28" s="9" t="str">
        <f>IF(OR(AQ7="ALPHA",AP32=AT32),"A","")</f>
        <v/>
      </c>
      <c r="X28" s="9" t="str">
        <f>IF(OR(AP32=AT32,AU22="NODE"),"N","")</f>
        <v/>
      </c>
      <c r="Y28" s="9" t="str">
        <f>IF(OR(AP32=AT32,AU19="INVARIANT"),"I","")</f>
        <v/>
      </c>
      <c r="Z28" s="9" t="str">
        <f>IF(OR(AP32=AT32,AQ23="ERROR"),"E","")</f>
        <v/>
      </c>
      <c r="AA28" s="9" t="str">
        <f>IF(OR(AP32=AT32,AQ13="STAKEHOLDERS"),"S","")</f>
        <v/>
      </c>
      <c r="AB28" s="11"/>
      <c r="AC28" s="11"/>
      <c r="AD28" s="11"/>
      <c r="AE28" s="11"/>
      <c r="AF28" s="11"/>
      <c r="AG28" s="11"/>
      <c r="AH28" s="10"/>
      <c r="AI28" s="10"/>
      <c r="AJ28" s="10"/>
      <c r="AK28" s="5"/>
      <c r="AP28" s="28"/>
      <c r="AS28" s="8"/>
      <c r="AT28" s="35"/>
      <c r="AU28" s="8"/>
    </row>
    <row r="29" spans="2:47" x14ac:dyDescent="0.25">
      <c r="O29" s="5"/>
      <c r="P29" s="5"/>
      <c r="Q29" s="5"/>
      <c r="R29" s="5"/>
      <c r="S29" s="5"/>
      <c r="T29" s="8"/>
      <c r="U29" s="5"/>
      <c r="V29" s="5"/>
      <c r="W29" s="5"/>
      <c r="X29" s="5"/>
      <c r="Y29" s="5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S29" s="5"/>
      <c r="AT29" s="35"/>
      <c r="AU29" s="5"/>
    </row>
    <row r="30" spans="2:47" ht="15.75" x14ac:dyDescent="0.25">
      <c r="AS30" s="6"/>
    </row>
    <row r="31" spans="2:47" ht="15.75" thickBot="1" x14ac:dyDescent="0.3">
      <c r="AP31" s="3" t="s">
        <v>16</v>
      </c>
    </row>
    <row r="32" spans="2:47" ht="33" customHeight="1" thickBot="1" x14ac:dyDescent="0.3">
      <c r="AP32" s="17"/>
      <c r="AR32" s="5"/>
      <c r="AT32" s="7" t="s">
        <v>44</v>
      </c>
    </row>
    <row r="33" spans="43:43" x14ac:dyDescent="0.25">
      <c r="AQ33" s="5"/>
    </row>
  </sheetData>
  <mergeCells count="17">
    <mergeCell ref="AP3:AP5"/>
    <mergeCell ref="AT3:AT5"/>
    <mergeCell ref="AP6:AP8"/>
    <mergeCell ref="AT6:AT8"/>
    <mergeCell ref="AP9:AP11"/>
    <mergeCell ref="AT9:AT11"/>
    <mergeCell ref="AT27:AT29"/>
    <mergeCell ref="AP12:AP14"/>
    <mergeCell ref="AT12:AT14"/>
    <mergeCell ref="AP15:AP18"/>
    <mergeCell ref="AT15:AT17"/>
    <mergeCell ref="AT18:AT20"/>
    <mergeCell ref="AP19:AP21"/>
    <mergeCell ref="AT21:AT23"/>
    <mergeCell ref="AP22:AP25"/>
    <mergeCell ref="AT24:AT26"/>
    <mergeCell ref="AP26:AP28"/>
  </mergeCells>
  <conditionalFormatting sqref="AP32">
    <cfRule type="cellIs" dxfId="15" priority="16" operator="equal">
      <formula>$AT$32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equal" id="{333CA066-4BBF-452E-8661-F294CB25F422}">
            <xm:f>ANSWERS!$E$2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AQ4</xm:sqref>
        </x14:conditionalFormatting>
        <x14:conditionalFormatting xmlns:xm="http://schemas.microsoft.com/office/excel/2006/main">
          <x14:cfRule type="cellIs" priority="14" operator="equal" id="{CCB2F5C8-2A20-4FEC-9171-9E079403FEA1}">
            <xm:f>ANSWERS!$E$3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AQ7</xm:sqref>
        </x14:conditionalFormatting>
        <x14:conditionalFormatting xmlns:xm="http://schemas.microsoft.com/office/excel/2006/main">
          <x14:cfRule type="cellIs" priority="13" operator="equal" id="{2DD51F31-5034-4E8E-BE4B-C4C51D2D268A}">
            <xm:f>ANSWERS!$E$4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AQ10</xm:sqref>
        </x14:conditionalFormatting>
        <x14:conditionalFormatting xmlns:xm="http://schemas.microsoft.com/office/excel/2006/main">
          <x14:cfRule type="cellIs" priority="12" operator="equal" id="{835FFC63-1EC6-4F87-9428-6FC89CE4A0AD}">
            <xm:f>ANSWERS!$E$5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ellIs" priority="11" operator="equal" id="{5AA02A8B-F4A8-4C96-AA10-D19CEFF22844}">
            <xm:f>ANSWERS!$E$6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AQ16</xm:sqref>
        </x14:conditionalFormatting>
        <x14:conditionalFormatting xmlns:xm="http://schemas.microsoft.com/office/excel/2006/main">
          <x14:cfRule type="cellIs" priority="10" operator="equal" id="{712950C3-4A26-4FA8-90A6-A2600A21B74A}">
            <xm:f>ANSWERS!$E$7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AQ20</xm:sqref>
        </x14:conditionalFormatting>
        <x14:conditionalFormatting xmlns:xm="http://schemas.microsoft.com/office/excel/2006/main">
          <x14:cfRule type="cellIs" priority="9" operator="equal" id="{09D50BC3-B8E1-40BE-A7DA-019408AEF9C7}">
            <xm:f>ANSWERS!$E$8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AQ23</xm:sqref>
        </x14:conditionalFormatting>
        <x14:conditionalFormatting xmlns:xm="http://schemas.microsoft.com/office/excel/2006/main">
          <x14:cfRule type="cellIs" priority="8" operator="equal" id="{BF7EB6CD-B37F-4FDF-9686-9821B26BF7AB}">
            <xm:f>ANSWERS!$E$9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AQ27</xm:sqref>
        </x14:conditionalFormatting>
        <x14:conditionalFormatting xmlns:xm="http://schemas.microsoft.com/office/excel/2006/main">
          <x14:cfRule type="cellIs" priority="7" operator="equal" id="{A1E4E06D-2182-47F9-BF9F-8DB4AF91ACDA}">
            <xm:f>ANSWERS!$E$10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AU4</xm:sqref>
        </x14:conditionalFormatting>
        <x14:conditionalFormatting xmlns:xm="http://schemas.microsoft.com/office/excel/2006/main">
          <x14:cfRule type="cellIs" priority="6" operator="equal" id="{5C13E353-394E-4B57-B982-58F9777839FF}">
            <xm:f>ANSWERS!$E$11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AU7</xm:sqref>
        </x14:conditionalFormatting>
        <x14:conditionalFormatting xmlns:xm="http://schemas.microsoft.com/office/excel/2006/main">
          <x14:cfRule type="cellIs" priority="5" operator="equal" id="{95472B54-E7D1-492A-9046-46A7D2B26CF7}">
            <xm:f>ANSWERS!$E$12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AU10</xm:sqref>
        </x14:conditionalFormatting>
        <x14:conditionalFormatting xmlns:xm="http://schemas.microsoft.com/office/excel/2006/main">
          <x14:cfRule type="cellIs" priority="4" operator="equal" id="{72A64A52-ADA8-4C67-9FB2-5FD8B5EE9BE7}">
            <xm:f>ANSWERS!$E$13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AU13</xm:sqref>
        </x14:conditionalFormatting>
        <x14:conditionalFormatting xmlns:xm="http://schemas.microsoft.com/office/excel/2006/main">
          <x14:cfRule type="cellIs" priority="3" operator="equal" id="{022CE163-8159-46C3-8D0F-AC301327BB0F}">
            <xm:f>ANSWERS!$E$14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AU16</xm:sqref>
        </x14:conditionalFormatting>
        <x14:conditionalFormatting xmlns:xm="http://schemas.microsoft.com/office/excel/2006/main">
          <x14:cfRule type="cellIs" priority="2" operator="equal" id="{BF60CD43-85BB-4DF0-9376-36FDD084590A}">
            <xm:f>ANSWERS!$E$15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AU19</xm:sqref>
        </x14:conditionalFormatting>
        <x14:conditionalFormatting xmlns:xm="http://schemas.microsoft.com/office/excel/2006/main">
          <x14:cfRule type="cellIs" priority="1" operator="equal" id="{BB9C041C-92DE-4F30-BFC3-3DF6DA45D86C}">
            <xm:f>ANSWERS!$E$16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AU22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4A2F-BB31-4038-87DD-AE19A43F2D74}">
  <dimension ref="A1:L23"/>
  <sheetViews>
    <sheetView showGridLines="0" showRowColHeaders="0" zoomScale="142" zoomScaleNormal="142" workbookViewId="0"/>
  </sheetViews>
  <sheetFormatPr baseColWidth="10" defaultRowHeight="15" x14ac:dyDescent="0.25"/>
  <cols>
    <col min="1" max="1" width="3.5703125" customWidth="1"/>
    <col min="2" max="5" width="20.7109375" customWidth="1"/>
  </cols>
  <sheetData>
    <row r="1" spans="1:5" x14ac:dyDescent="0.25">
      <c r="A1" s="24"/>
      <c r="B1" s="19" t="s">
        <v>45</v>
      </c>
      <c r="C1" s="19" t="s">
        <v>46</v>
      </c>
      <c r="D1" s="19" t="s">
        <v>47</v>
      </c>
      <c r="E1" s="19" t="s">
        <v>48</v>
      </c>
    </row>
    <row r="2" spans="1:5" x14ac:dyDescent="0.25">
      <c r="A2" s="23">
        <v>1</v>
      </c>
      <c r="B2" s="20" t="s">
        <v>20</v>
      </c>
      <c r="C2" s="20" t="s">
        <v>20</v>
      </c>
      <c r="D2" s="20" t="s">
        <v>20</v>
      </c>
      <c r="E2" s="20" t="s">
        <v>20</v>
      </c>
    </row>
    <row r="3" spans="1:5" x14ac:dyDescent="0.25">
      <c r="A3" s="23">
        <v>2</v>
      </c>
      <c r="B3" s="20" t="s">
        <v>19</v>
      </c>
      <c r="C3" s="20" t="s">
        <v>19</v>
      </c>
      <c r="D3" s="20" t="s">
        <v>19</v>
      </c>
      <c r="E3" s="20" t="s">
        <v>19</v>
      </c>
    </row>
    <row r="4" spans="1:5" x14ac:dyDescent="0.25">
      <c r="A4" s="23">
        <v>3</v>
      </c>
      <c r="B4" s="20" t="s">
        <v>32</v>
      </c>
      <c r="C4" s="20" t="s">
        <v>32</v>
      </c>
      <c r="D4" s="20" t="s">
        <v>32</v>
      </c>
      <c r="E4" s="20" t="s">
        <v>32</v>
      </c>
    </row>
    <row r="5" spans="1:5" x14ac:dyDescent="0.25">
      <c r="A5" s="23">
        <v>4</v>
      </c>
      <c r="B5" s="20" t="s">
        <v>29</v>
      </c>
      <c r="C5" s="20" t="s">
        <v>29</v>
      </c>
      <c r="D5" s="20" t="s">
        <v>29</v>
      </c>
      <c r="E5" s="20" t="s">
        <v>29</v>
      </c>
    </row>
    <row r="6" spans="1:5" x14ac:dyDescent="0.25">
      <c r="A6" s="23">
        <v>5</v>
      </c>
      <c r="B6" s="20" t="s">
        <v>21</v>
      </c>
      <c r="C6" s="20" t="s">
        <v>21</v>
      </c>
      <c r="D6" s="20" t="s">
        <v>21</v>
      </c>
      <c r="E6" s="20" t="s">
        <v>21</v>
      </c>
    </row>
    <row r="7" spans="1:5" x14ac:dyDescent="0.25">
      <c r="A7" s="23">
        <v>6</v>
      </c>
      <c r="B7" s="20" t="s">
        <v>4</v>
      </c>
      <c r="C7" s="20" t="s">
        <v>4</v>
      </c>
      <c r="D7" s="20" t="s">
        <v>4</v>
      </c>
      <c r="E7" s="20" t="s">
        <v>4</v>
      </c>
    </row>
    <row r="8" spans="1:5" x14ac:dyDescent="0.25">
      <c r="A8" s="23">
        <v>7</v>
      </c>
      <c r="B8" s="20" t="s">
        <v>30</v>
      </c>
      <c r="C8" s="20" t="s">
        <v>30</v>
      </c>
      <c r="D8" s="20" t="s">
        <v>30</v>
      </c>
      <c r="E8" s="20" t="s">
        <v>30</v>
      </c>
    </row>
    <row r="9" spans="1:5" x14ac:dyDescent="0.25">
      <c r="A9" s="23">
        <v>8</v>
      </c>
      <c r="B9" s="20" t="s">
        <v>31</v>
      </c>
      <c r="C9" s="20" t="s">
        <v>36</v>
      </c>
      <c r="D9" s="20" t="s">
        <v>36</v>
      </c>
      <c r="E9" s="20" t="s">
        <v>31</v>
      </c>
    </row>
    <row r="10" spans="1:5" x14ac:dyDescent="0.25">
      <c r="A10" s="23">
        <v>9</v>
      </c>
      <c r="B10" s="20" t="s">
        <v>33</v>
      </c>
      <c r="C10" s="20" t="s">
        <v>38</v>
      </c>
      <c r="D10" s="20" t="s">
        <v>31</v>
      </c>
      <c r="E10" s="20" t="s">
        <v>33</v>
      </c>
    </row>
    <row r="11" spans="1:5" x14ac:dyDescent="0.25">
      <c r="A11" s="23">
        <v>10</v>
      </c>
      <c r="B11" s="20" t="s">
        <v>23</v>
      </c>
      <c r="C11" s="20" t="s">
        <v>40</v>
      </c>
      <c r="D11" s="20" t="s">
        <v>23</v>
      </c>
      <c r="E11" s="20" t="s">
        <v>23</v>
      </c>
    </row>
    <row r="12" spans="1:5" x14ac:dyDescent="0.25">
      <c r="A12" s="23">
        <v>11</v>
      </c>
      <c r="B12" s="20" t="s">
        <v>27</v>
      </c>
      <c r="C12" s="20" t="s">
        <v>27</v>
      </c>
      <c r="D12" s="20" t="s">
        <v>27</v>
      </c>
      <c r="E12" s="20" t="s">
        <v>27</v>
      </c>
    </row>
    <row r="13" spans="1:5" x14ac:dyDescent="0.25">
      <c r="A13" s="23">
        <v>12</v>
      </c>
      <c r="B13" s="20" t="s">
        <v>28</v>
      </c>
      <c r="C13" s="20" t="s">
        <v>18</v>
      </c>
      <c r="D13" s="20" t="s">
        <v>18</v>
      </c>
      <c r="E13" s="20" t="s">
        <v>25</v>
      </c>
    </row>
    <row r="14" spans="1:5" x14ac:dyDescent="0.25">
      <c r="A14" s="23">
        <v>13</v>
      </c>
      <c r="B14" s="20" t="s">
        <v>26</v>
      </c>
      <c r="C14" s="20" t="s">
        <v>24</v>
      </c>
      <c r="D14" s="20" t="s">
        <v>24</v>
      </c>
      <c r="E14" s="20" t="s">
        <v>22</v>
      </c>
    </row>
    <row r="15" spans="1:5" x14ac:dyDescent="0.25">
      <c r="A15" s="23">
        <v>14</v>
      </c>
      <c r="B15" s="20" t="s">
        <v>25</v>
      </c>
      <c r="C15" s="20"/>
      <c r="D15" s="20" t="s">
        <v>22</v>
      </c>
      <c r="E15" s="20" t="s">
        <v>18</v>
      </c>
    </row>
    <row r="16" spans="1:5" x14ac:dyDescent="0.25">
      <c r="A16" s="23">
        <v>15</v>
      </c>
      <c r="B16" s="20" t="s">
        <v>22</v>
      </c>
      <c r="C16" s="20"/>
      <c r="D16" s="20" t="s">
        <v>28</v>
      </c>
      <c r="E16" s="20" t="s">
        <v>24</v>
      </c>
    </row>
    <row r="17" spans="1:12" x14ac:dyDescent="0.25">
      <c r="A17" s="23">
        <v>16</v>
      </c>
      <c r="B17" s="20" t="s">
        <v>18</v>
      </c>
      <c r="C17" s="20"/>
      <c r="D17" s="20" t="s">
        <v>43</v>
      </c>
      <c r="E17" s="20"/>
    </row>
    <row r="18" spans="1:12" x14ac:dyDescent="0.25">
      <c r="A18" s="23">
        <v>17</v>
      </c>
      <c r="B18" s="20" t="s">
        <v>24</v>
      </c>
      <c r="C18" s="20"/>
      <c r="D18" s="20"/>
      <c r="E18" s="20"/>
    </row>
    <row r="19" spans="1:12" x14ac:dyDescent="0.25">
      <c r="A19" s="25"/>
    </row>
    <row r="20" spans="1:12" x14ac:dyDescent="0.25">
      <c r="A20" s="23" t="s">
        <v>54</v>
      </c>
      <c r="B20" s="38" t="s">
        <v>17</v>
      </c>
      <c r="C20" s="38"/>
      <c r="D20" s="38"/>
      <c r="E20" s="38"/>
      <c r="F20" s="22"/>
      <c r="G20" s="22"/>
      <c r="H20" s="22"/>
      <c r="I20" s="22"/>
      <c r="J20" s="22"/>
      <c r="K20" s="22"/>
      <c r="L20" s="22"/>
    </row>
    <row r="21" spans="1:12" x14ac:dyDescent="0.25">
      <c r="A21" s="23" t="s">
        <v>55</v>
      </c>
      <c r="B21" s="38" t="s">
        <v>34</v>
      </c>
      <c r="C21" s="38"/>
      <c r="D21" s="38"/>
      <c r="E21" s="38"/>
      <c r="F21" s="22"/>
      <c r="G21" s="22"/>
      <c r="H21" s="22"/>
      <c r="I21" s="22"/>
      <c r="J21" s="22"/>
      <c r="K21" s="22"/>
      <c r="L21" s="22"/>
    </row>
    <row r="22" spans="1:12" x14ac:dyDescent="0.25">
      <c r="A22" s="23" t="s">
        <v>56</v>
      </c>
      <c r="B22" s="38" t="s">
        <v>41</v>
      </c>
      <c r="C22" s="38"/>
      <c r="D22" s="38"/>
      <c r="E22" s="38"/>
      <c r="F22" s="22"/>
      <c r="G22" s="22"/>
      <c r="H22" s="22"/>
      <c r="I22" s="22"/>
      <c r="J22" s="22"/>
      <c r="K22" s="22"/>
      <c r="L22" s="22"/>
    </row>
    <row r="23" spans="1:12" x14ac:dyDescent="0.25">
      <c r="A23" s="23" t="s">
        <v>57</v>
      </c>
      <c r="B23" s="38" t="s">
        <v>44</v>
      </c>
      <c r="C23" s="38"/>
      <c r="D23" s="38"/>
      <c r="E23" s="38"/>
      <c r="F23" s="22"/>
      <c r="G23" s="22"/>
      <c r="H23" s="22"/>
      <c r="I23" s="22"/>
      <c r="J23" s="22"/>
      <c r="K23" s="22"/>
      <c r="L23" s="22"/>
    </row>
  </sheetData>
  <mergeCells count="4">
    <mergeCell ref="B23:E23"/>
    <mergeCell ref="B20:E20"/>
    <mergeCell ref="B21:E21"/>
    <mergeCell ref="B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POINTS</vt:lpstr>
      <vt:lpstr>BRIDGE 1</vt:lpstr>
      <vt:lpstr>BRIDGE 2</vt:lpstr>
      <vt:lpstr>BRIDGE 3</vt:lpstr>
      <vt:lpstr>BRIDGE 4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2022-04-07T16:18:54Z</dcterms:created>
  <dcterms:modified xsi:type="dcterms:W3CDTF">2022-04-13T01:41:04Z</dcterms:modified>
</cp:coreProperties>
</file>