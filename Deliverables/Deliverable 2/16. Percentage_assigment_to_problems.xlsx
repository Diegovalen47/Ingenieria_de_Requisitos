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<sst xmlns="http://schemas.openxmlformats.org/spreadsheetml/2006/main" count="55" uniqueCount="32">
  <si>
    <t>Percentage Assigment to Problems</t>
  </si>
  <si>
    <t>C1</t>
  </si>
  <si>
    <t>C3</t>
  </si>
  <si>
    <t>C4</t>
  </si>
  <si>
    <t>C5</t>
  </si>
  <si>
    <t>P1</t>
  </si>
  <si>
    <t>P2</t>
  </si>
  <si>
    <t>P3</t>
  </si>
  <si>
    <t>P4</t>
  </si>
  <si>
    <t>G8</t>
  </si>
  <si>
    <t>P5</t>
  </si>
  <si>
    <t>G11</t>
  </si>
  <si>
    <t>P6</t>
  </si>
  <si>
    <t>G10</t>
  </si>
  <si>
    <t>P7</t>
  </si>
  <si>
    <t>G10, G6</t>
  </si>
  <si>
    <t>P8</t>
  </si>
  <si>
    <t>P9</t>
  </si>
  <si>
    <t>G2</t>
  </si>
  <si>
    <t>P10</t>
  </si>
  <si>
    <t>G2,G3</t>
  </si>
  <si>
    <t>P11</t>
  </si>
  <si>
    <t>P12</t>
  </si>
  <si>
    <t>Total</t>
  </si>
  <si>
    <t>FORMULATE</t>
  </si>
  <si>
    <t>VALUE</t>
  </si>
  <si>
    <t>PERCENTAGE</t>
  </si>
  <si>
    <t>SP2</t>
  </si>
  <si>
    <t>C4+C5</t>
  </si>
  <si>
    <t>SP1</t>
  </si>
  <si>
    <t>C2+C1</t>
  </si>
  <si>
    <t>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</si>
</sst>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Border="1" applyFill="1" applyFont="1"/>
    <xf borderId="1" fillId="2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B1" s="1" t="s">
        <v>0</v>
      </c>
    </row>
    <row r="3">
      <c r="B3" s="2"/>
      <c r="C3" s="3" t="s">
        <v>1</v>
      </c>
      <c r="D3" s="3" t="s">
        <v>2</v>
      </c>
      <c r="E3" s="3" t="s">
        <v>3</v>
      </c>
      <c r="F3" s="3" t="s">
        <v>4</v>
      </c>
      <c r="G3" s="4"/>
      <c r="H3" s="4"/>
      <c r="I3" s="4"/>
    </row>
    <row r="4">
      <c r="A4" s="5"/>
      <c r="B4" s="3" t="s">
        <v>5</v>
      </c>
      <c r="C4" s="6"/>
      <c r="D4" s="6"/>
      <c r="E4" s="6"/>
      <c r="F4" s="6"/>
    </row>
    <row r="5">
      <c r="A5" s="5"/>
      <c r="B5" s="3" t="s">
        <v>6</v>
      </c>
      <c r="C5" s="6"/>
      <c r="D5" s="6"/>
      <c r="E5" s="6"/>
      <c r="F5" s="6"/>
    </row>
    <row r="6">
      <c r="A6" s="5"/>
      <c r="B6" s="3" t="s">
        <v>7</v>
      </c>
      <c r="C6" s="6"/>
      <c r="D6" s="6"/>
      <c r="E6" s="6"/>
      <c r="F6" s="6"/>
    </row>
    <row r="7">
      <c r="A7" s="5"/>
      <c r="B7" s="3" t="s">
        <v>8</v>
      </c>
      <c r="C7" s="7" t="s">
        <v>9</v>
      </c>
      <c r="D7" s="6"/>
      <c r="E7" s="6"/>
      <c r="F7" s="7" t="s">
        <v>9</v>
      </c>
    </row>
    <row r="8">
      <c r="A8" s="5"/>
      <c r="B8" s="3" t="s">
        <v>10</v>
      </c>
      <c r="C8" s="6"/>
      <c r="D8" s="7" t="s">
        <v>11</v>
      </c>
      <c r="E8" s="6"/>
      <c r="F8" s="6"/>
    </row>
    <row r="9">
      <c r="A9" s="5"/>
      <c r="B9" s="3" t="s">
        <v>12</v>
      </c>
      <c r="C9" s="6"/>
      <c r="D9" s="7" t="s">
        <v>13</v>
      </c>
      <c r="E9" s="6"/>
      <c r="F9" s="6"/>
    </row>
    <row r="10">
      <c r="A10" s="5"/>
      <c r="B10" s="3" t="s">
        <v>14</v>
      </c>
      <c r="C10" s="7" t="s">
        <v>15</v>
      </c>
      <c r="D10" s="6"/>
      <c r="E10" s="6"/>
      <c r="F10" s="6"/>
    </row>
    <row r="11">
      <c r="A11" s="5"/>
      <c r="B11" s="3" t="s">
        <v>16</v>
      </c>
      <c r="C11" s="6"/>
      <c r="D11" s="6"/>
      <c r="E11" s="6"/>
      <c r="F11" s="7" t="s">
        <v>9</v>
      </c>
    </row>
    <row r="12">
      <c r="A12" s="5"/>
      <c r="B12" s="3" t="s">
        <v>17</v>
      </c>
      <c r="C12" s="6"/>
      <c r="D12" s="6"/>
      <c r="E12" s="7" t="s">
        <v>18</v>
      </c>
      <c r="F12" s="6"/>
    </row>
    <row r="13">
      <c r="A13" s="5"/>
      <c r="B13" s="3" t="s">
        <v>19</v>
      </c>
      <c r="C13" s="6"/>
      <c r="D13" s="6"/>
      <c r="E13" s="7" t="s">
        <v>20</v>
      </c>
      <c r="F13" s="6"/>
    </row>
    <row r="14">
      <c r="A14" s="5"/>
      <c r="B14" s="3" t="s">
        <v>21</v>
      </c>
      <c r="C14" s="6"/>
      <c r="D14" s="6"/>
      <c r="E14" s="6"/>
      <c r="F14" s="6"/>
    </row>
    <row r="15">
      <c r="A15" s="5"/>
      <c r="B15" s="3" t="s">
        <v>22</v>
      </c>
      <c r="C15" s="6"/>
      <c r="D15" s="6"/>
      <c r="E15" s="6"/>
      <c r="F15" s="6"/>
    </row>
    <row r="16">
      <c r="A16" s="5"/>
      <c r="B16" s="5"/>
    </row>
    <row r="17">
      <c r="B17" s="2"/>
      <c r="C17" s="3" t="s">
        <v>1</v>
      </c>
      <c r="D17" s="3" t="s">
        <v>2</v>
      </c>
      <c r="E17" s="3" t="s">
        <v>3</v>
      </c>
      <c r="F17" s="3" t="s">
        <v>4</v>
      </c>
    </row>
    <row r="18">
      <c r="A18" s="5"/>
      <c r="B18" s="3" t="s">
        <v>5</v>
      </c>
      <c r="C18" s="6"/>
      <c r="D18" s="6"/>
      <c r="E18" s="6"/>
      <c r="F18" s="6"/>
    </row>
    <row r="19">
      <c r="A19" s="5"/>
      <c r="B19" s="3" t="s">
        <v>6</v>
      </c>
      <c r="C19" s="6"/>
      <c r="D19" s="6"/>
      <c r="E19" s="6"/>
      <c r="F19" s="6"/>
    </row>
    <row r="20">
      <c r="A20" s="5"/>
      <c r="B20" s="3" t="s">
        <v>7</v>
      </c>
      <c r="C20" s="6"/>
      <c r="D20" s="6"/>
      <c r="E20" s="6"/>
      <c r="F20" s="6"/>
    </row>
    <row r="21">
      <c r="A21" s="5"/>
      <c r="B21" s="3" t="s">
        <v>8</v>
      </c>
      <c r="C21" s="7">
        <v>9.6</v>
      </c>
      <c r="D21" s="6"/>
      <c r="E21" s="6"/>
      <c r="F21" s="7">
        <v>9.6</v>
      </c>
    </row>
    <row r="22">
      <c r="A22" s="5"/>
      <c r="B22" s="3" t="s">
        <v>10</v>
      </c>
      <c r="C22" s="6"/>
      <c r="D22" s="7">
        <v>10.5</v>
      </c>
      <c r="E22" s="6"/>
      <c r="F22" s="6"/>
    </row>
    <row r="23">
      <c r="A23" s="5"/>
      <c r="B23" s="3" t="s">
        <v>12</v>
      </c>
      <c r="C23" s="6"/>
      <c r="D23" s="7">
        <v>17.2</v>
      </c>
      <c r="E23" s="6"/>
      <c r="F23" s="6"/>
    </row>
    <row r="24">
      <c r="A24" s="5"/>
      <c r="B24" s="3" t="s">
        <v>14</v>
      </c>
      <c r="C24" s="6">
        <f>17.2+17.2</f>
        <v>34.4</v>
      </c>
      <c r="D24" s="6"/>
      <c r="E24" s="6"/>
      <c r="F24" s="6"/>
    </row>
    <row r="25">
      <c r="A25" s="5"/>
      <c r="B25" s="3" t="s">
        <v>16</v>
      </c>
      <c r="C25" s="6"/>
      <c r="D25" s="6"/>
      <c r="E25" s="6"/>
      <c r="F25" s="7">
        <v>9.6</v>
      </c>
    </row>
    <row r="26">
      <c r="A26" s="5"/>
      <c r="B26" s="3" t="s">
        <v>17</v>
      </c>
      <c r="C26" s="6"/>
      <c r="D26" s="6"/>
      <c r="E26" s="7">
        <v>14.1</v>
      </c>
      <c r="F26" s="6"/>
    </row>
    <row r="27">
      <c r="A27" s="5"/>
      <c r="B27" s="3" t="s">
        <v>19</v>
      </c>
      <c r="C27" s="6"/>
      <c r="D27" s="6"/>
      <c r="E27" s="7">
        <f>14.1+17.2</f>
        <v>31.3</v>
      </c>
      <c r="F27" s="6"/>
    </row>
    <row r="28">
      <c r="A28" s="5"/>
      <c r="B28" s="3" t="s">
        <v>21</v>
      </c>
      <c r="C28" s="6"/>
      <c r="D28" s="6"/>
      <c r="E28" s="6"/>
      <c r="F28" s="6"/>
    </row>
    <row r="29">
      <c r="A29" s="5"/>
      <c r="B29" s="3" t="s">
        <v>22</v>
      </c>
      <c r="C29" s="6"/>
      <c r="D29" s="6"/>
      <c r="E29" s="6"/>
      <c r="F29" s="6"/>
      <c r="H29" s="8"/>
    </row>
    <row r="30">
      <c r="A30" s="9"/>
      <c r="B30" s="10" t="s">
        <v>23</v>
      </c>
      <c r="C30" s="6">
        <f t="shared" ref="C30:F30" si="1">SUM(C18:C29)</f>
        <v>44</v>
      </c>
      <c r="D30" s="6">
        <f t="shared" si="1"/>
        <v>27.7</v>
      </c>
      <c r="E30" s="6">
        <f t="shared" si="1"/>
        <v>45.4</v>
      </c>
      <c r="F30" s="6">
        <f t="shared" si="1"/>
        <v>19.2</v>
      </c>
    </row>
    <row r="31">
      <c r="B31" s="6"/>
      <c r="C31" s="11">
        <f>SUM(C30:F30)</f>
        <v>136.3</v>
      </c>
      <c r="D31" s="12"/>
      <c r="E31" s="12"/>
      <c r="F31" s="13"/>
    </row>
    <row r="32">
      <c r="B32" s="6"/>
      <c r="C32" s="14">
        <f t="shared" ref="C32:F32" si="2">C30/$C$31</f>
        <v>0.3228173147</v>
      </c>
      <c r="D32" s="14">
        <f t="shared" si="2"/>
        <v>0.2032281731</v>
      </c>
      <c r="E32" s="14">
        <f t="shared" si="2"/>
        <v>0.3330887748</v>
      </c>
      <c r="F32" s="14">
        <f t="shared" si="2"/>
        <v>0.1408657373</v>
      </c>
    </row>
    <row r="34">
      <c r="B34" s="2"/>
      <c r="C34" s="10" t="s">
        <v>24</v>
      </c>
      <c r="D34" s="10" t="s">
        <v>25</v>
      </c>
      <c r="E34" s="10" t="s">
        <v>26</v>
      </c>
    </row>
    <row r="35">
      <c r="A35" s="9"/>
      <c r="B35" s="10" t="s">
        <v>27</v>
      </c>
      <c r="C35" s="7" t="s">
        <v>28</v>
      </c>
      <c r="D35" s="14">
        <f>F32+E32</f>
        <v>0.4739545121</v>
      </c>
      <c r="E35" s="6"/>
    </row>
    <row r="36">
      <c r="A36" s="9"/>
      <c r="B36" s="10" t="s">
        <v>29</v>
      </c>
      <c r="C36" s="7" t="s">
        <v>30</v>
      </c>
      <c r="D36" s="14">
        <f>C32+D39</f>
        <v>0.5260454879</v>
      </c>
      <c r="E36" s="6"/>
    </row>
    <row r="37">
      <c r="B37" s="2"/>
      <c r="C37" s="6"/>
      <c r="D37" s="14">
        <f>D36+D35</f>
        <v>1</v>
      </c>
      <c r="E37" s="6"/>
    </row>
    <row r="38">
      <c r="A38" s="9"/>
      <c r="B38" s="10" t="s">
        <v>1</v>
      </c>
      <c r="C38" s="14">
        <f>C32</f>
        <v>0.3228173147</v>
      </c>
      <c r="D38" s="14">
        <f>C32</f>
        <v>0.3228173147</v>
      </c>
      <c r="E38" s="14">
        <f>D38/D36</f>
        <v>0.6136680614</v>
      </c>
    </row>
    <row r="39">
      <c r="A39" s="9"/>
      <c r="B39" s="10" t="s">
        <v>31</v>
      </c>
      <c r="C39" s="7" t="s">
        <v>2</v>
      </c>
      <c r="D39" s="14">
        <f>D32</f>
        <v>0.2032281731</v>
      </c>
      <c r="E39" s="14">
        <f>D39/D36</f>
        <v>0.3863319386</v>
      </c>
    </row>
    <row r="40">
      <c r="A40" s="9"/>
      <c r="B40" s="10" t="s">
        <v>2</v>
      </c>
      <c r="C40" s="14">
        <f>D32</f>
        <v>0.2032281731</v>
      </c>
      <c r="D40" s="14">
        <f>D32</f>
        <v>0.2032281731</v>
      </c>
      <c r="E40" s="15">
        <v>1.0</v>
      </c>
    </row>
    <row r="41">
      <c r="A41" s="9"/>
      <c r="B41" s="10" t="s">
        <v>3</v>
      </c>
      <c r="C41" s="14">
        <f>E32</f>
        <v>0.3330887748</v>
      </c>
      <c r="D41" s="14">
        <f>E32</f>
        <v>0.3330887748</v>
      </c>
      <c r="E41" s="14">
        <f>D41/D35</f>
        <v>0.7027863777</v>
      </c>
    </row>
    <row r="42">
      <c r="A42" s="9"/>
      <c r="B42" s="10" t="s">
        <v>4</v>
      </c>
      <c r="C42" s="14">
        <f>F32</f>
        <v>0.1408657373</v>
      </c>
      <c r="D42" s="14">
        <f>F32</f>
        <v>0.1408657373</v>
      </c>
      <c r="E42" s="14">
        <f>D42/D35</f>
        <v>0.2972136223</v>
      </c>
    </row>
  </sheetData>
  <mergeCells count="2">
    <mergeCell ref="B1:F1"/>
    <mergeCell ref="C31:F31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