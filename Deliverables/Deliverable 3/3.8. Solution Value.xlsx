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<sst xmlns="http://schemas.openxmlformats.org/spreadsheetml/2006/main" count="66" uniqueCount="58">
  <si>
    <t>SOLUTION VALUE</t>
  </si>
  <si>
    <t>Process</t>
  </si>
  <si>
    <t>Goals/Requirements</t>
  </si>
  <si>
    <t>Problems</t>
  </si>
  <si>
    <t>Use Cases</t>
  </si>
  <si>
    <t>P1: Creates User</t>
  </si>
  <si>
    <t>G7, R2</t>
  </si>
  <si>
    <t>UC01: Creates User</t>
  </si>
  <si>
    <t>P2: Edits User</t>
  </si>
  <si>
    <t>UC02: Edits User</t>
  </si>
  <si>
    <t>P3: Deletes User</t>
  </si>
  <si>
    <t>UC03: Deletes User</t>
  </si>
  <si>
    <t>P5: Provides Data</t>
  </si>
  <si>
    <t>G11, R6, R7</t>
  </si>
  <si>
    <t>C3</t>
  </si>
  <si>
    <t>UC05: UCrovides Data</t>
  </si>
  <si>
    <t>P6:Cleans Data</t>
  </si>
  <si>
    <t>G10, R6</t>
  </si>
  <si>
    <t>UC06: Cleans Data</t>
  </si>
  <si>
    <t>P7: Extracs Summary</t>
  </si>
  <si>
    <t>G6, G10, R6</t>
  </si>
  <si>
    <t>C1</t>
  </si>
  <si>
    <t>UC07: Extracs Summary</t>
  </si>
  <si>
    <t>P8: Determines Model</t>
  </si>
  <si>
    <t>G8, R3</t>
  </si>
  <si>
    <t>C5</t>
  </si>
  <si>
    <t>UC08: Determines Model</t>
  </si>
  <si>
    <t>P9: Builds Application</t>
  </si>
  <si>
    <t>G2, R3</t>
  </si>
  <si>
    <t>C4</t>
  </si>
  <si>
    <t>UC09: Builds AUCUClication</t>
  </si>
  <si>
    <t>P10: Updates Model</t>
  </si>
  <si>
    <t>G2, G3, R3, R1</t>
  </si>
  <si>
    <t>UC10: Updates Model</t>
  </si>
  <si>
    <t>P11: Releases Result</t>
  </si>
  <si>
    <t>G1, R5</t>
  </si>
  <si>
    <t>UC11: Releases Result</t>
  </si>
  <si>
    <t>Use Case</t>
  </si>
  <si>
    <t>Cause</t>
  </si>
  <si>
    <t>Pi,j</t>
  </si>
  <si>
    <t>Qi,j</t>
  </si>
  <si>
    <t>Ci</t>
  </si>
  <si>
    <t>%</t>
  </si>
  <si>
    <t>UC07</t>
  </si>
  <si>
    <t>UC05, UC06</t>
  </si>
  <si>
    <t>UC09, UC10</t>
  </si>
  <si>
    <t>UC08</t>
  </si>
  <si>
    <t>TOTAL COVERAGE</t>
  </si>
  <si>
    <t>90 - 100%</t>
  </si>
  <si>
    <t>80 - 89.9%</t>
  </si>
  <si>
    <t>70 - 79.9%</t>
  </si>
  <si>
    <t>60 - 69.9%</t>
  </si>
  <si>
    <t>50 - 59.9%</t>
  </si>
  <si>
    <t>40 - 49.9%</t>
  </si>
  <si>
    <t>30 - 39.9%</t>
  </si>
  <si>
    <t>20 - 29.9%</t>
  </si>
  <si>
    <t>10 - 19.9%</t>
  </si>
  <si>
    <t>0 - 9.9%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</si>
</sst>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500"/>
        <bgColor rgb="FFFF9500"/>
      </patternFill>
    </fill>
    <fill>
      <patternFill patternType="solid">
        <fgColor rgb="FFFFFF00"/>
        <bgColor rgb="FFFFFF00"/>
      </patternFill>
    </fill>
    <fill>
      <patternFill patternType="solid">
        <fgColor rgb="FF95FF32"/>
        <bgColor rgb="FF95FF32"/>
      </patternFill>
    </fill>
    <fill>
      <patternFill patternType="solid">
        <fgColor rgb="FF00FF00"/>
        <bgColor rgb="FF00FF00"/>
      </patternFill>
    </fill>
    <fill>
      <patternFill patternType="solid">
        <fgColor rgb="FF32FF95"/>
        <bgColor rgb="FF32FF95"/>
      </patternFill>
    </fill>
    <fill>
      <patternFill patternType="solid">
        <fgColor rgb="FF0095FF"/>
        <bgColor rgb="FF0095FF"/>
      </patternFill>
    </fill>
    <fill>
      <patternFill patternType="solid">
        <fgColor rgb="FF0000FF"/>
        <bgColor rgb="FF0000FF"/>
      </patternFill>
    </fill>
    <fill>
      <patternFill patternType="solid">
        <fgColor rgb="FF000032"/>
        <bgColor rgb="FF00003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3" fillId="2" fontId="2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center"/>
    </xf>
    <xf borderId="1" fillId="0" fontId="4" numFmtId="0" xfId="0" applyAlignment="1" applyBorder="1" applyFont="1">
      <alignment horizontal="right" readingOrder="0"/>
    </xf>
    <xf borderId="4" fillId="0" fontId="3" numFmtId="0" xfId="0" applyBorder="1" applyFont="1"/>
    <xf borderId="3" fillId="3" fontId="4" numFmtId="0" xfId="0" applyBorder="1" applyFill="1" applyFont="1"/>
    <xf borderId="0" fillId="0" fontId="5" numFmtId="0" xfId="0" applyAlignment="1" applyFont="1">
      <alignment readingOrder="0"/>
    </xf>
    <xf borderId="3" fillId="4" fontId="4" numFmtId="0" xfId="0" applyBorder="1" applyFill="1" applyFont="1"/>
    <xf borderId="3" fillId="5" fontId="4" numFmtId="0" xfId="0" applyBorder="1" applyFill="1" applyFont="1"/>
    <xf borderId="3" fillId="6" fontId="4" numFmtId="0" xfId="0" applyBorder="1" applyFill="1" applyFont="1"/>
    <xf borderId="3" fillId="7" fontId="4" numFmtId="0" xfId="0" applyBorder="1" applyFill="1" applyFont="1"/>
    <xf borderId="3" fillId="8" fontId="4" numFmtId="0" xfId="0" applyBorder="1" applyFill="1" applyFont="1"/>
    <xf borderId="3" fillId="9" fontId="4" numFmtId="0" xfId="0" applyBorder="1" applyFill="1" applyFont="1"/>
    <xf borderId="3" fillId="10" fontId="4" numFmtId="0" xfId="0" applyBorder="1" applyFill="1" applyFont="1"/>
    <xf borderId="3" fillId="11" fontId="4" numFmtId="0" xfId="0" applyBorder="1" applyFill="1" applyFont="1"/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2">
      <c r="B2" s="1" t="s">
        <v>0</v>
      </c>
    </row>
    <row r="4">
      <c r="B4" s="2" t="s">
        <v>1</v>
      </c>
      <c r="C4" s="3"/>
      <c r="D4" s="2" t="s">
        <v>2</v>
      </c>
      <c r="E4" s="3"/>
      <c r="F4" s="2" t="s">
        <v>3</v>
      </c>
      <c r="G4" s="3"/>
      <c r="H4" s="2" t="s">
        <v>4</v>
      </c>
      <c r="I4" s="3"/>
    </row>
    <row r="5">
      <c r="B5" s="4" t="s">
        <v>5</v>
      </c>
      <c r="C5" s="3"/>
      <c r="D5" s="4" t="s">
        <v>6</v>
      </c>
      <c r="E5" s="3"/>
      <c r="F5" s="5"/>
      <c r="G5" s="3"/>
      <c r="H5" s="4" t="s">
        <v>7</v>
      </c>
      <c r="I5" s="3"/>
    </row>
    <row r="6">
      <c r="B6" s="4" t="s">
        <v>8</v>
      </c>
      <c r="C6" s="3"/>
      <c r="D6" s="4" t="s">
        <v>6</v>
      </c>
      <c r="E6" s="3"/>
      <c r="F6" s="5"/>
      <c r="G6" s="3"/>
      <c r="H6" s="4" t="s">
        <v>9</v>
      </c>
      <c r="I6" s="3"/>
    </row>
    <row r="7">
      <c r="B7" s="4" t="s">
        <v>10</v>
      </c>
      <c r="C7" s="3"/>
      <c r="D7" s="4" t="s">
        <v>6</v>
      </c>
      <c r="E7" s="3"/>
      <c r="F7" s="5"/>
      <c r="G7" s="3"/>
      <c r="H7" s="4" t="s">
        <v>11</v>
      </c>
      <c r="I7" s="3"/>
    </row>
    <row r="8">
      <c r="B8" s="4" t="s">
        <v>12</v>
      </c>
      <c r="C8" s="3"/>
      <c r="D8" s="4" t="s">
        <v>13</v>
      </c>
      <c r="E8" s="3"/>
      <c r="F8" s="4" t="s">
        <v>14</v>
      </c>
      <c r="G8" s="3"/>
      <c r="H8" s="4" t="s">
        <v>15</v>
      </c>
      <c r="I8" s="3"/>
    </row>
    <row r="9">
      <c r="B9" s="4" t="s">
        <v>16</v>
      </c>
      <c r="C9" s="3"/>
      <c r="D9" s="4" t="s">
        <v>17</v>
      </c>
      <c r="E9" s="3"/>
      <c r="F9" s="4" t="s">
        <v>14</v>
      </c>
      <c r="G9" s="3"/>
      <c r="H9" s="4" t="s">
        <v>18</v>
      </c>
      <c r="I9" s="3"/>
    </row>
    <row r="10">
      <c r="B10" s="4" t="s">
        <v>19</v>
      </c>
      <c r="C10" s="3"/>
      <c r="D10" s="4" t="s">
        <v>20</v>
      </c>
      <c r="E10" s="3"/>
      <c r="F10" s="4" t="s">
        <v>21</v>
      </c>
      <c r="G10" s="3"/>
      <c r="H10" s="4" t="s">
        <v>22</v>
      </c>
      <c r="I10" s="3"/>
    </row>
    <row r="11">
      <c r="B11" s="4" t="s">
        <v>23</v>
      </c>
      <c r="C11" s="3"/>
      <c r="D11" s="4" t="s">
        <v>24</v>
      </c>
      <c r="E11" s="3"/>
      <c r="F11" s="4" t="s">
        <v>25</v>
      </c>
      <c r="G11" s="3"/>
      <c r="H11" s="4" t="s">
        <v>26</v>
      </c>
      <c r="I11" s="3"/>
    </row>
    <row r="12">
      <c r="B12" s="4" t="s">
        <v>27</v>
      </c>
      <c r="C12" s="3"/>
      <c r="D12" s="4" t="s">
        <v>28</v>
      </c>
      <c r="E12" s="3"/>
      <c r="F12" s="4" t="s">
        <v>29</v>
      </c>
      <c r="G12" s="3"/>
      <c r="H12" s="4" t="s">
        <v>30</v>
      </c>
      <c r="I12" s="3"/>
    </row>
    <row r="13">
      <c r="B13" s="4" t="s">
        <v>31</v>
      </c>
      <c r="C13" s="3"/>
      <c r="D13" s="4" t="s">
        <v>32</v>
      </c>
      <c r="E13" s="3"/>
      <c r="F13" s="4" t="s">
        <v>29</v>
      </c>
      <c r="G13" s="3"/>
      <c r="H13" s="4" t="s">
        <v>33</v>
      </c>
      <c r="I13" s="3"/>
    </row>
    <row r="14">
      <c r="B14" s="4" t="s">
        <v>34</v>
      </c>
      <c r="C14" s="3"/>
      <c r="D14" s="4" t="s">
        <v>35</v>
      </c>
      <c r="E14" s="3"/>
      <c r="F14" s="5"/>
      <c r="G14" s="3"/>
      <c r="H14" s="4" t="s">
        <v>36</v>
      </c>
      <c r="I14" s="3"/>
    </row>
    <row r="16">
      <c r="B16" s="2" t="s">
        <v>37</v>
      </c>
      <c r="C16" s="3"/>
      <c r="D16" s="2" t="s">
        <v>38</v>
      </c>
      <c r="E16" s="3"/>
      <c r="F16" s="6" t="s">
        <v>39</v>
      </c>
      <c r="G16" s="6" t="s">
        <v>40</v>
      </c>
      <c r="H16" s="6" t="s">
        <v>41</v>
      </c>
      <c r="I16" s="6" t="s">
        <v>42</v>
      </c>
    </row>
    <row r="17">
      <c r="B17" s="4" t="s">
        <v>43</v>
      </c>
      <c r="C17" s="3"/>
      <c r="D17" s="4" t="s">
        <v>21</v>
      </c>
      <c r="E17" s="3"/>
      <c r="F17" s="7">
        <v>61.4</v>
      </c>
      <c r="G17" s="7">
        <v>52.6</v>
      </c>
      <c r="H17" s="8">
        <f>(34.4/44)*100</f>
        <v>78.18181818</v>
      </c>
      <c r="I17" s="8">
        <f t="shared" ref="I17:I20" si="1">(F17*G17*H17)/100^2</f>
        <v>25.24991273</v>
      </c>
    </row>
    <row r="18">
      <c r="B18" s="4" t="s">
        <v>44</v>
      </c>
      <c r="C18" s="3"/>
      <c r="D18" s="4" t="s">
        <v>14</v>
      </c>
      <c r="E18" s="3"/>
      <c r="F18" s="7">
        <v>38.6</v>
      </c>
      <c r="G18" s="7">
        <v>52.6</v>
      </c>
      <c r="H18" s="8">
        <f>((10.5+17.2)/27.7)*100</f>
        <v>100</v>
      </c>
      <c r="I18" s="8">
        <f t="shared" si="1"/>
        <v>20.3036</v>
      </c>
    </row>
    <row r="19">
      <c r="B19" s="4" t="s">
        <v>45</v>
      </c>
      <c r="C19" s="3"/>
      <c r="D19" s="4" t="s">
        <v>29</v>
      </c>
      <c r="E19" s="3"/>
      <c r="F19" s="7">
        <v>70.3</v>
      </c>
      <c r="G19" s="7">
        <v>47.4</v>
      </c>
      <c r="H19" s="8">
        <f>((14.1+31.3)/45.4)*100</f>
        <v>100</v>
      </c>
      <c r="I19" s="8">
        <f t="shared" si="1"/>
        <v>33.3222</v>
      </c>
    </row>
    <row r="20">
      <c r="B20" s="4" t="s">
        <v>46</v>
      </c>
      <c r="C20" s="3"/>
      <c r="D20" s="4" t="s">
        <v>25</v>
      </c>
      <c r="E20" s="3"/>
      <c r="F20" s="7">
        <v>29.7</v>
      </c>
      <c r="G20" s="7">
        <v>47.4</v>
      </c>
      <c r="H20" s="8">
        <f>(9.6/19.2)*100</f>
        <v>50</v>
      </c>
      <c r="I20" s="8">
        <f t="shared" si="1"/>
        <v>7.0389</v>
      </c>
    </row>
    <row r="21">
      <c r="B21" s="9" t="s">
        <v>47</v>
      </c>
      <c r="C21" s="10"/>
      <c r="D21" s="10"/>
      <c r="E21" s="10"/>
      <c r="F21" s="10"/>
      <c r="G21" s="10"/>
      <c r="H21" s="3"/>
      <c r="I21" s="8">
        <f>SUM(I17:I20)</f>
        <v>85.91461273</v>
      </c>
    </row>
  </sheetData>
  <mergeCells count="56">
    <mergeCell ref="B10:C10"/>
    <mergeCell ref="D10:E10"/>
    <mergeCell ref="F10:G10"/>
    <mergeCell ref="H10:I10"/>
    <mergeCell ref="D11:E11"/>
    <mergeCell ref="F11:G11"/>
    <mergeCell ref="H11:I11"/>
    <mergeCell ref="B11:C11"/>
    <mergeCell ref="B12:C12"/>
    <mergeCell ref="D12:E12"/>
    <mergeCell ref="F12:G12"/>
    <mergeCell ref="H12:I12"/>
    <mergeCell ref="B13:C13"/>
    <mergeCell ref="D13:E13"/>
    <mergeCell ref="F5:G5"/>
    <mergeCell ref="H5:I5"/>
    <mergeCell ref="B2:I2"/>
    <mergeCell ref="B4:C4"/>
    <mergeCell ref="D4:E4"/>
    <mergeCell ref="F4:G4"/>
    <mergeCell ref="H4:I4"/>
    <mergeCell ref="B5:C5"/>
    <mergeCell ref="D5:E5"/>
    <mergeCell ref="B6:C6"/>
    <mergeCell ref="D6:E6"/>
    <mergeCell ref="F6:G6"/>
    <mergeCell ref="H6:I6"/>
    <mergeCell ref="D7:E7"/>
    <mergeCell ref="F7:G7"/>
    <mergeCell ref="H7:I7"/>
    <mergeCell ref="F9:G9"/>
    <mergeCell ref="H9:I9"/>
    <mergeCell ref="B7:C7"/>
    <mergeCell ref="B8:C8"/>
    <mergeCell ref="D8:E8"/>
    <mergeCell ref="F8:G8"/>
    <mergeCell ref="H8:I8"/>
    <mergeCell ref="B9:C9"/>
    <mergeCell ref="D9:E9"/>
    <mergeCell ref="F13:G13"/>
    <mergeCell ref="H13:I13"/>
    <mergeCell ref="B17:C17"/>
    <mergeCell ref="B18:C18"/>
    <mergeCell ref="D18:E18"/>
    <mergeCell ref="B19:C19"/>
    <mergeCell ref="D19:E19"/>
    <mergeCell ref="B20:C20"/>
    <mergeCell ref="D20:E20"/>
    <mergeCell ref="B21:H21"/>
    <mergeCell ref="B14:C14"/>
    <mergeCell ref="D14:E14"/>
    <mergeCell ref="F14:G14"/>
    <mergeCell ref="H14:I14"/>
    <mergeCell ref="B16:C16"/>
    <mergeCell ref="D16:E16"/>
    <mergeCell ref="D17:E17"/>
  </mergeCells>
  <printOptions gridLines="1" horizontalCentered="1"/>
  <pageMargins bottom="0.75" footer="0.0" header="0.0" left="0.7" right="0.7" top="0.75"/>
  <pageSetup fitToHeight="0" cellComments="atEnd" orientation="landscape" pageOrder="overThenDown" paperHeight="7.086614173228346in" paperWidth="11.811023622047244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0"/>
  </cols>
  <sheetData>
    <row r="2" ht="24.0" customHeight="1">
      <c r="B2" s="11"/>
      <c r="C2" s="12" t="s">
        <v>48</v>
      </c>
    </row>
    <row r="3" ht="24.0" customHeight="1">
      <c r="B3" s="13"/>
      <c r="C3" s="12" t="s">
        <v>49</v>
      </c>
    </row>
    <row r="4" ht="24.0" customHeight="1">
      <c r="B4" s="14"/>
      <c r="C4" s="12" t="s">
        <v>50</v>
      </c>
    </row>
    <row r="5" ht="24.0" customHeight="1">
      <c r="B5" s="15"/>
      <c r="C5" s="12" t="s">
        <v>51</v>
      </c>
    </row>
    <row r="6" ht="24.0" customHeight="1">
      <c r="B6" s="16"/>
      <c r="C6" s="12" t="s">
        <v>52</v>
      </c>
    </row>
    <row r="7" ht="24.0" customHeight="1">
      <c r="B7" s="17"/>
      <c r="C7" s="12" t="s">
        <v>53</v>
      </c>
    </row>
    <row r="8" ht="24.0" customHeight="1">
      <c r="B8" s="18"/>
      <c r="C8" s="12" t="s">
        <v>54</v>
      </c>
    </row>
    <row r="9" ht="24.0" customHeight="1">
      <c r="B9" s="19"/>
      <c r="C9" s="12" t="s">
        <v>55</v>
      </c>
    </row>
    <row r="10" ht="24.0" customHeight="1">
      <c r="B10" s="20"/>
      <c r="C10" s="12" t="s">
        <v>56</v>
      </c>
    </row>
    <row r="11" ht="24.0" customHeight="1">
      <c r="B11" s="21"/>
      <c r="C11" s="12" t="s">
        <v>57</v>
      </c>
    </row>
  </sheetData>
  <drawing r:id="rId1"/>
</worksheet>
</file>