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Copia de Hoja 1" sheetId="2" r:id="rId5"/>
  </sheets>
  <definedNames/>
  <calcPr/>
</workbook>
</file>

<file path=xl/sharedStrings.xml><?xml version="1.0" encoding="utf-8"?>
<sst xmlns="http://schemas.openxmlformats.org/spreadsheetml/2006/main" count="256" uniqueCount="107">
  <si>
    <t>SOLUTION EFFORT</t>
  </si>
  <si>
    <t>Analysis of the actors belonging to the case study</t>
  </si>
  <si>
    <t>Actor Summary</t>
  </si>
  <si>
    <t>Multiplier</t>
  </si>
  <si>
    <t>Number of Actors</t>
  </si>
  <si>
    <t>Description</t>
  </si>
  <si>
    <t>Simple</t>
  </si>
  <si>
    <t>Simple actors are other systems that communicate with your communicate with your software through a predefined API. predefined API. An API could be exposed through a dll, or as a REST through a dll, or as a REST, SOAP or any web service API or any web service API or remote procedure call (RPC). remote procedure call (RPC). The key element is that you are exposing the interaction with your software through a specific, well-defined defined mechanism.</t>
  </si>
  <si>
    <t>Average</t>
  </si>
  <si>
    <t>The average actors can be human beings interacting in a well-defined protocol, or they could be systems that interact systems interacting through a more complex or flexible a more complex or flexible API.</t>
  </si>
  <si>
    <t>Complex</t>
  </si>
  <si>
    <t>The original definition of complex actors specific that users interacting with the software through a graphical through a graphical user interface are complex actors. graphical user interface are complex actors. While that is true, the same true, the same classification should apply to users interacting with the users who interact with the system in unpredictable ways. unpredictable ways. An AJAX interface that exposes more of the underlying application (and data stores) that would be data stores) than would be available through a rigid protocol could introduce through a rigid protocol could introduce similar complexity. similar complexity.</t>
  </si>
  <si>
    <t>Calculated AW</t>
  </si>
  <si>
    <t>Individual Actors</t>
  </si>
  <si>
    <t>Actor Name</t>
  </si>
  <si>
    <t>Administrator</t>
  </si>
  <si>
    <t>Stakeholder</t>
  </si>
  <si>
    <t>Data Scientist</t>
  </si>
  <si>
    <t xml:space="preserve">Analysis of the use cases belonging to the case study </t>
  </si>
  <si>
    <t>Unadjusted 
Use Case Points</t>
  </si>
  <si>
    <t>Number of Use Cases</t>
  </si>
  <si>
    <t>Simple Use Case - up to 3 transactions</t>
  </si>
  <si>
    <t>Average Use Case - 4 to 7 transactions</t>
  </si>
  <si>
    <t>Complex Use Case - more than 7 transactions</t>
  </si>
  <si>
    <t>Calculated UUCP</t>
  </si>
  <si>
    <t>Individual Use Cases</t>
  </si>
  <si>
    <t>Use Case Name</t>
  </si>
  <si>
    <t>Creates User</t>
  </si>
  <si>
    <t>Edits User</t>
  </si>
  <si>
    <t>Deletes User</t>
  </si>
  <si>
    <t>Provides Data</t>
  </si>
  <si>
    <t>Cleans Data</t>
  </si>
  <si>
    <t>Extracs Summary</t>
  </si>
  <si>
    <t>Determines Model</t>
  </si>
  <si>
    <t>Builds Application</t>
  </si>
  <si>
    <t>Updates Model</t>
  </si>
  <si>
    <t>Releases Result</t>
  </si>
  <si>
    <t xml:space="preserve"> Analysis of the environmental factor belonging to the case study</t>
  </si>
  <si>
    <t>Environmental Factor</t>
  </si>
  <si>
    <t>Relative
Magnitude
(Enter 0-5)</t>
  </si>
  <si>
    <t>Familiarity With The 
Project</t>
  </si>
  <si>
    <t>How much experience does your team have working in 
this domain? The domain of the project will be a 
reflection of what the software is intended to 
accomplish, not the implementation language. In other 
words, for an insurance compensation system written in 
java, you care about the team’s experience in the 
insurance compensation space - not how much java 
they’ve written. Higher levels of experience get a 
higher number</t>
  </si>
  <si>
    <t>Application 
Experience</t>
  </si>
  <si>
    <t xml:space="preserve">How much experience does your team have with the 
application. This will only be relevant when making
changes to an existing application. Higher numbers 
represent more experience. For a new application, 
everyone’s experience will be 0. </t>
  </si>
  <si>
    <t>OO Programming 
Experience</t>
  </si>
  <si>
    <t>How much experience does your team have at OO? It 
can be easy to forget that many people have no object 
oriented programming experience if you are used to 
having it. A user-centric or use-case-driven project will 
have an inherently OO structure in the implementation. 
Higher numbers represent more OO experience</t>
  </si>
  <si>
    <t>Lead Analyst 
Capability</t>
  </si>
  <si>
    <t xml:space="preserve">How knowledgeable and capable is the person 
responsible for the requirements? Bad requirements are 
the number one killer of projects - the Standish Group 
reports that 40% to 60% of defects come from bad 
requirements. Higher numbers represent increased skill 
and knowledge. </t>
  </si>
  <si>
    <t>Motivation</t>
  </si>
  <si>
    <t xml:space="preserve">How motivated is your team? Higher numbers represent 
more motivation. </t>
  </si>
  <si>
    <t>Stable Requirements</t>
  </si>
  <si>
    <t xml:space="preserve">Changes in requirements can cause increases in work. 
The way to avoid this is by planning for change and
instituting a timing system for managing those changes. 
Most people don’t do this, and some rework will be 
unavoidable. Higher numbers represent more change 
(or a less effective system for managing change). </t>
  </si>
  <si>
    <t>Part Time Staff</t>
  </si>
  <si>
    <t xml:space="preserve">Note, the multiplier for this number is negative. Higher 
numbers reflect team members that are part time, 
outside consultants, and developers who are splitting 
their time across projects. Context switching and other 
intangible factors make these team members less 
efficient. </t>
  </si>
  <si>
    <t>Difficult Programming 
Language</t>
  </si>
  <si>
    <t xml:space="preserve">This multiplier is also negative. Harder languages 
represent higher numbers. We believe that difficulty is 
in the eye of the be-coder (groan). Java might be 
difficult for a fortran programmer. Think of it in terms 
of difficulty for your team, not abstract difficulty. </t>
  </si>
  <si>
    <t>Calculated EF</t>
  </si>
  <si>
    <t>Analysis of the technical factor belonging to the case study</t>
  </si>
  <si>
    <t>Technical Factor</t>
  </si>
  <si>
    <t>Distributed System 
Required</t>
  </si>
  <si>
    <t xml:space="preserve">The architecture of the solution may be centralized
or single-tenant , or it may be distributed (like an n-tier solution) or multi-tenant. Higher numbers 
represent a more complex architecture. </t>
  </si>
  <si>
    <t xml:space="preserve">Response Time Is 
Important </t>
  </si>
  <si>
    <t>The quickness of response for users is an important
(and non-trivial) factor. For example, if the server 
load is expected to be very low, this may be a 
trivial factor. Higher numbers represent increasing
importance of response time (a search engine 
would have a high number, a daily news aggregator 
would have a low number)</t>
  </si>
  <si>
    <t>End User Efficiency</t>
  </si>
  <si>
    <t>Is the application being developed to optimize on 
user efficiency, or just capability? Higher numbers
represent projects that rely more heavily on the 
application to improve user efficiency.</t>
  </si>
  <si>
    <t>Complex Internal 
Processing Required</t>
  </si>
  <si>
    <t xml:space="preserve">Is there a lot of difficult algorithmic work to do and 
test? Complex algorithms (resource leveling, time domain systems analysis, OLAP cubes) have higher 
numbers. Simple database queries would have low 
numbers. </t>
  </si>
  <si>
    <t>Reusable Code Must 
Be A Focus</t>
  </si>
  <si>
    <t>Is heavy code reuse an objective or goal? Code 
reuse reduces the amount of effort required to 
deploy a project. It also reduces the amount of time 
required to debug a project. A shared library 
function can be re-used multiple times, and fixing 
the code in one place can resolve multiple bugs. 
The higher the level of re-use, the lower the 
number.</t>
  </si>
  <si>
    <t>Installation Ease</t>
  </si>
  <si>
    <t xml:space="preserve">Is ease of installation for end users a key factor?
The higher the level of competence of the users, the 
lower the number. </t>
  </si>
  <si>
    <t>Usability</t>
  </si>
  <si>
    <t xml:space="preserve">Is ease of use a primary criteria for acceptance? 
The greater the importance of usability, the higher
the number. </t>
  </si>
  <si>
    <t>Cross-Platform 
Support</t>
  </si>
  <si>
    <t xml:space="preserve">Is multi-platform support required? The more 
platforms that have to be supported (this could be 
browser versions, mobile devices, etc. or 
Windows/OSX/Unix), the higher the value. </t>
  </si>
  <si>
    <t>Easy To Change</t>
  </si>
  <si>
    <t xml:space="preserve">Does the customer require the ability to change or 
customize the application in the future? The more 
change / customization that is required in the 
future, the higher the value. </t>
  </si>
  <si>
    <t>Highly Concurrent</t>
  </si>
  <si>
    <t xml:space="preserve">Will you have to address database locking and 
other concurrency issues? The more attention you 
have to spend to resolving conflicts in the data or
application, the higher the value. </t>
  </si>
  <si>
    <t>Custom Security</t>
  </si>
  <si>
    <t>Can existing security solutions be leveraged, or 
must custom code be developed? The more custom 
security work you have to do (field level, page 
level, or role based security, for example), the 
higher the value.</t>
  </si>
  <si>
    <t xml:space="preserve">Dependence On Third-Party Code </t>
  </si>
  <si>
    <t>Will the application require the use of third party
controls or libraries? Like re-usable code, third 
party code can reduce the effort required to deploy
a solution. The more third party code (and the more
reliable the third party code), the lower the number.</t>
  </si>
  <si>
    <t>User Training</t>
  </si>
  <si>
    <t>How much user training is required? Is the 
application complex, or supporting complex 
activities? The longer it takes users to cross the 
suck threshold (achieve a level of mastery of the 
product), the higher the value.</t>
  </si>
  <si>
    <t>Calculated TCF</t>
  </si>
  <si>
    <t>Final use case point calculation belonging to the case study</t>
  </si>
  <si>
    <t>Calculations From Other Tabs</t>
  </si>
  <si>
    <t>TCF</t>
  </si>
  <si>
    <r>
      <rPr>
        <rFont val="Arial"/>
        <color theme="5"/>
      </rPr>
      <t>Technical</t>
    </r>
    <r>
      <rPr>
        <rFont val="Arial"/>
        <color theme="1"/>
      </rPr>
      <t xml:space="preserve"> Complexity Factor</t>
    </r>
  </si>
  <si>
    <t>EF</t>
  </si>
  <si>
    <r>
      <rPr>
        <rFont val="Arial"/>
        <color theme="5"/>
      </rPr>
      <t>Environmental</t>
    </r>
    <r>
      <rPr>
        <rFont val="Arial"/>
        <color theme="1"/>
      </rPr>
      <t xml:space="preserve"> Factor</t>
    </r>
  </si>
  <si>
    <t>UUCP</t>
  </si>
  <si>
    <r>
      <rPr>
        <rFont val="Arial"/>
        <color theme="1"/>
      </rPr>
      <t xml:space="preserve">Unadjusted </t>
    </r>
    <r>
      <rPr>
        <rFont val="Arial"/>
        <color theme="5"/>
      </rPr>
      <t>Use Case</t>
    </r>
    <r>
      <rPr>
        <rFont val="Arial"/>
        <color theme="1"/>
      </rPr>
      <t xml:space="preserve"> Points</t>
    </r>
  </si>
  <si>
    <t>AW</t>
  </si>
  <si>
    <r>
      <rPr>
        <rFont val="Arial"/>
        <color theme="5"/>
      </rPr>
      <t>Actor</t>
    </r>
    <r>
      <rPr>
        <rFont val="Arial"/>
        <color theme="1"/>
      </rPr>
      <t xml:space="preserve"> Weighting </t>
    </r>
  </si>
  <si>
    <t>Calculations of Use Case Points</t>
  </si>
  <si>
    <t>UCP</t>
  </si>
  <si>
    <t>Use Case Points</t>
  </si>
  <si>
    <t>Calculation of Estimated Effort</t>
  </si>
  <si>
    <t>Ratio</t>
  </si>
  <si>
    <t>Hours of Effort per Use Case Point</t>
  </si>
  <si>
    <t>Hours of Effort</t>
  </si>
  <si>
    <r>
      <rPr>
        <rFont val="Arial"/>
        <color theme="5"/>
      </rPr>
      <t>Technical</t>
    </r>
    <r>
      <rPr>
        <rFont val="Arial"/>
        <color theme="1"/>
      </rPr>
      <t xml:space="preserve"> Complexity Factor</t>
    </r>
  </si>
  <si>
    <r>
      <rPr>
        <rFont val="Arial"/>
        <color theme="5"/>
      </rPr>
      <t>Environmental</t>
    </r>
    <r>
      <rPr>
        <rFont val="Arial"/>
        <color theme="1"/>
      </rPr>
      <t xml:space="preserve"> Factor</t>
    </r>
  </si>
  <si>
    <r>
      <rPr>
        <rFont val="Arial"/>
        <color theme="1"/>
      </rPr>
      <t xml:space="preserve">Unadjusted </t>
    </r>
    <r>
      <rPr>
        <rFont val="Arial"/>
        <color theme="5"/>
      </rPr>
      <t>Use Case</t>
    </r>
    <r>
      <rPr>
        <rFont val="Arial"/>
        <color theme="1"/>
      </rPr>
      <t xml:space="preserve"> Points</t>
    </r>
  </si>
  <si>
    <r>
      <rPr>
        <rFont val="Arial"/>
        <color theme="5"/>
      </rPr>
      <t>Actor</t>
    </r>
    <r>
      <rPr>
        <rFont val="Arial"/>
        <color theme="1"/>
      </rPr>
      <t xml:space="preserve"> Weighting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</si>
</sst>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b/>
      <sz val="18.0"/>
      <color theme="1"/>
      <name val="Arial"/>
      <scheme val="minor"/>
    </font>
    <font>
      <b/>
      <sz val="12.0"/>
      <color theme="1"/>
      <name val="Arial"/>
      <scheme val="minor"/>
    </font>
    <font>
      <b/>
      <color theme="1"/>
      <name val="Arial"/>
      <scheme val="minor"/>
    </font>
    <font/>
    <font>
      <color theme="1"/>
      <name val="Arial"/>
      <scheme val="minor"/>
    </font>
  </fonts>
  <fills count="3">
    <fill>
      <patternFill patternType="none"/>
    </fill>
    <fill>
      <patternFill patternType="lightGray"/>
    </fill>
    <fill>
      <patternFill patternType="solid">
        <fgColor rgb="FFD9D9D9"/>
        <bgColor rgb="FFD9D9D9"/>
      </patternFill>
    </fill>
  </fills>
  <borders count="23">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2" fontId="3" numFmtId="0" xfId="0" applyAlignment="1" applyBorder="1" applyFont="1">
      <alignment horizontal="center" readingOrder="0" shrinkToFit="0" vertical="center" wrapText="1"/>
    </xf>
    <xf borderId="5" fillId="2" fontId="3" numFmtId="0" xfId="0" applyAlignment="1" applyBorder="1" applyFont="1">
      <alignment horizontal="center" readingOrder="0" shrinkToFit="0" vertical="center" wrapText="1"/>
    </xf>
    <xf borderId="6" fillId="0" fontId="4" numFmtId="0" xfId="0" applyBorder="1" applyFont="1"/>
    <xf borderId="7" fillId="0" fontId="5" numFmtId="0" xfId="0" applyAlignment="1" applyBorder="1" applyFont="1">
      <alignment horizontal="center" readingOrder="0" shrinkToFit="0" vertical="center" wrapText="1"/>
    </xf>
    <xf borderId="8" fillId="0" fontId="3" numFmtId="0" xfId="0" applyAlignment="1" applyBorder="1" applyFont="1">
      <alignment horizontal="center" readingOrder="0" shrinkToFit="0" vertical="center" wrapText="1"/>
    </xf>
    <xf borderId="9" fillId="0" fontId="4" numFmtId="0" xfId="0" applyBorder="1" applyFont="1"/>
    <xf borderId="10" fillId="0" fontId="5" numFmtId="0" xfId="0" applyAlignment="1" applyBorder="1" applyFont="1">
      <alignment horizontal="center" readingOrder="0" shrinkToFit="0" vertical="center" wrapText="1"/>
    </xf>
    <xf borderId="10" fillId="0" fontId="3" numFmtId="0" xfId="0" applyAlignment="1" applyBorder="1" applyFont="1">
      <alignment horizontal="center" readingOrder="0" shrinkToFit="0" vertical="center" wrapText="1"/>
    </xf>
    <xf borderId="8" fillId="0" fontId="5" numFmtId="0" xfId="0" applyAlignment="1" applyBorder="1" applyFont="1">
      <alignment horizontal="left" readingOrder="0" shrinkToFit="0" vertical="center" wrapText="1"/>
    </xf>
    <xf borderId="11" fillId="0" fontId="4" numFmtId="0" xfId="0" applyBorder="1" applyFont="1"/>
    <xf borderId="12" fillId="2" fontId="3" numFmtId="0" xfId="0" applyAlignment="1" applyBorder="1" applyFont="1">
      <alignment horizontal="center" readingOrder="0" shrinkToFit="0" vertical="center" wrapText="1"/>
    </xf>
    <xf borderId="13" fillId="0" fontId="4" numFmtId="0" xfId="0" applyBorder="1" applyFont="1"/>
    <xf borderId="10" fillId="2" fontId="3" numFmtId="0" xfId="0" applyAlignment="1" applyBorder="1" applyFont="1">
      <alignment horizontal="center" shrinkToFit="0" vertical="center" wrapText="1"/>
    </xf>
    <xf borderId="8" fillId="2" fontId="3" numFmtId="0" xfId="0" applyAlignment="1" applyBorder="1" applyFont="1">
      <alignment horizontal="center" shrinkToFit="0" vertical="center" wrapText="1"/>
    </xf>
    <xf borderId="10" fillId="2" fontId="3" numFmtId="0" xfId="0" applyAlignment="1" applyBorder="1" applyFont="1">
      <alignment horizontal="center" readingOrder="0" shrinkToFit="0" vertical="center" wrapText="1"/>
    </xf>
    <xf borderId="8" fillId="2" fontId="3"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14" fillId="0" fontId="5" numFmtId="0" xfId="0" applyAlignment="1" applyBorder="1" applyFont="1">
      <alignment horizontal="center" readingOrder="0" shrinkToFit="0" vertical="center" wrapText="1"/>
    </xf>
    <xf borderId="15" fillId="0" fontId="5" numFmtId="0" xfId="0" applyAlignment="1" applyBorder="1" applyFont="1">
      <alignment horizontal="center" readingOrder="0" shrinkToFit="0" vertical="center" wrapText="1"/>
    </xf>
    <xf borderId="16" fillId="0" fontId="4" numFmtId="0" xfId="0" applyBorder="1" applyFont="1"/>
    <xf borderId="17" fillId="0" fontId="5" numFmtId="0" xfId="0" applyAlignment="1" applyBorder="1" applyFont="1">
      <alignment horizontal="center" readingOrder="0" shrinkToFit="0" vertical="center" wrapText="1"/>
    </xf>
    <xf borderId="18" fillId="0" fontId="4" numFmtId="0" xfId="0" applyBorder="1" applyFont="1"/>
    <xf borderId="19" fillId="0" fontId="4" numFmtId="0" xfId="0" applyBorder="1" applyFont="1"/>
    <xf borderId="0" fillId="0" fontId="5"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5" numFmtId="0" xfId="0" applyAlignment="1" applyFont="1">
      <alignment horizontal="center" shrinkToFit="0" vertical="center" wrapText="1"/>
    </xf>
    <xf borderId="8" fillId="0" fontId="3" numFmtId="0" xfId="0" applyAlignment="1" applyBorder="1" applyFont="1">
      <alignment horizontal="center" readingOrder="0" vertical="center"/>
    </xf>
    <xf borderId="20" fillId="2" fontId="3" numFmtId="0" xfId="0" applyAlignment="1" applyBorder="1" applyFont="1">
      <alignment horizontal="center" readingOrder="0" shrinkToFit="0" vertical="center" wrapText="1"/>
    </xf>
    <xf borderId="17" fillId="2" fontId="3" numFmtId="0" xfId="0" applyAlignment="1" applyBorder="1" applyFont="1">
      <alignment horizontal="center" shrinkToFit="0" vertical="center" wrapText="1"/>
    </xf>
    <xf borderId="17" fillId="2" fontId="3" numFmtId="2" xfId="0" applyAlignment="1" applyBorder="1" applyFont="1" applyNumberFormat="1">
      <alignment horizontal="center" readingOrder="0" shrinkToFit="0" vertical="center" wrapText="1"/>
    </xf>
    <xf borderId="15" fillId="2" fontId="3" numFmtId="0" xfId="0" applyAlignment="1" applyBorder="1" applyFont="1">
      <alignment horizontal="center" shrinkToFit="0" vertical="center" wrapText="1"/>
    </xf>
    <xf borderId="10" fillId="0" fontId="5" numFmtId="0" xfId="0" applyAlignment="1" applyBorder="1" applyFont="1">
      <alignment horizontal="center" readingOrder="0" vertical="center"/>
    </xf>
    <xf borderId="8" fillId="0" fontId="5" numFmtId="0" xfId="0" applyAlignment="1" applyBorder="1" applyFont="1">
      <alignment horizontal="left" readingOrder="0"/>
    </xf>
    <xf borderId="8" fillId="0" fontId="5" numFmtId="0" xfId="0" applyAlignment="1" applyBorder="1" applyFont="1">
      <alignment horizontal="left" readingOrder="0" shrinkToFit="0" wrapText="1"/>
    </xf>
    <xf borderId="20" fillId="2" fontId="3" numFmtId="0" xfId="0" applyAlignment="1" applyBorder="1" applyFont="1">
      <alignment readingOrder="0"/>
    </xf>
    <xf borderId="17" fillId="2" fontId="3" numFmtId="0" xfId="0" applyAlignment="1" applyBorder="1" applyFont="1">
      <alignment horizontal="center" vertical="center"/>
    </xf>
    <xf borderId="17" fillId="2" fontId="3" numFmtId="0" xfId="0" applyAlignment="1" applyBorder="1" applyFont="1">
      <alignment horizontal="center" readingOrder="0" vertical="center"/>
    </xf>
    <xf borderId="15" fillId="2" fontId="3" numFmtId="0" xfId="0" applyBorder="1" applyFont="1"/>
    <xf borderId="1" fillId="0" fontId="3" numFmtId="0" xfId="0" applyAlignment="1" applyBorder="1" applyFont="1">
      <alignment readingOrder="0"/>
    </xf>
    <xf borderId="12" fillId="0" fontId="5" numFmtId="0" xfId="0" applyAlignment="1" applyBorder="1" applyFont="1">
      <alignment horizontal="right" readingOrder="0"/>
    </xf>
    <xf borderId="8" fillId="0" fontId="5" numFmtId="0" xfId="0" applyAlignment="1" applyBorder="1" applyFont="1">
      <alignment horizontal="right" readingOrder="0"/>
    </xf>
    <xf borderId="21" fillId="0" fontId="5" numFmtId="0" xfId="0" applyAlignment="1" applyBorder="1" applyFont="1">
      <alignment horizontal="right" readingOrder="0"/>
    </xf>
    <xf borderId="21" fillId="0" fontId="5" numFmtId="2" xfId="0" applyAlignment="1" applyBorder="1" applyFont="1" applyNumberFormat="1">
      <alignment horizontal="right" readingOrder="0"/>
    </xf>
    <xf borderId="12" fillId="0" fontId="3" numFmtId="0" xfId="0" applyAlignment="1" applyBorder="1" applyFont="1">
      <alignment readingOrder="0"/>
    </xf>
    <xf borderId="21" fillId="0" fontId="5" numFmtId="164" xfId="0" applyAlignment="1" applyBorder="1" applyFont="1" applyNumberFormat="1">
      <alignment horizontal="right" readingOrder="0"/>
    </xf>
    <xf borderId="12" fillId="0" fontId="5" numFmtId="0" xfId="0" applyBorder="1" applyFont="1"/>
    <xf borderId="20" fillId="0" fontId="3" numFmtId="0" xfId="0" applyAlignment="1" applyBorder="1" applyFont="1">
      <alignment horizontal="right" readingOrder="0"/>
    </xf>
    <xf borderId="22" fillId="2" fontId="3" numFmtId="1" xfId="0" applyAlignment="1" applyBorder="1" applyFont="1" applyNumberFormat="1">
      <alignment horizontal="right" readingOrder="0"/>
    </xf>
    <xf borderId="0" fillId="0" fontId="5"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3.0"/>
    <col customWidth="1" min="3" max="3" width="9.0"/>
    <col customWidth="1" min="4" max="4" width="11.5"/>
    <col customWidth="1" min="5" max="5" width="10.75"/>
    <col customWidth="1" min="6" max="6" width="15.13"/>
    <col customWidth="1" min="7" max="7" width="28.13"/>
    <col customWidth="1" min="8" max="8" width="16.63"/>
  </cols>
  <sheetData>
    <row r="2">
      <c r="B2" s="1" t="s">
        <v>0</v>
      </c>
    </row>
    <row r="4">
      <c r="B4" s="2" t="s">
        <v>1</v>
      </c>
    </row>
    <row r="6">
      <c r="B6" s="3" t="s">
        <v>2</v>
      </c>
      <c r="C6" s="4"/>
      <c r="D6" s="5"/>
      <c r="E6" s="6" t="s">
        <v>3</v>
      </c>
      <c r="F6" s="6" t="s">
        <v>4</v>
      </c>
      <c r="G6" s="7" t="s">
        <v>5</v>
      </c>
      <c r="H6" s="8"/>
    </row>
    <row r="7">
      <c r="B7" s="9">
        <v>1.0</v>
      </c>
      <c r="C7" s="10" t="s">
        <v>6</v>
      </c>
      <c r="D7" s="11"/>
      <c r="E7" s="12">
        <v>1.0</v>
      </c>
      <c r="F7" s="13">
        <v>0.0</v>
      </c>
      <c r="G7" s="14" t="s">
        <v>7</v>
      </c>
      <c r="H7" s="15"/>
    </row>
    <row r="8">
      <c r="B8" s="9">
        <v>2.0</v>
      </c>
      <c r="C8" s="10" t="s">
        <v>8</v>
      </c>
      <c r="D8" s="11"/>
      <c r="E8" s="12">
        <v>2.0</v>
      </c>
      <c r="F8" s="13">
        <v>1.0</v>
      </c>
      <c r="G8" s="14" t="s">
        <v>9</v>
      </c>
      <c r="H8" s="15"/>
    </row>
    <row r="9">
      <c r="B9" s="9">
        <v>3.0</v>
      </c>
      <c r="C9" s="10" t="s">
        <v>10</v>
      </c>
      <c r="D9" s="11"/>
      <c r="E9" s="12">
        <v>3.0</v>
      </c>
      <c r="F9" s="13">
        <v>2.0</v>
      </c>
      <c r="G9" s="14" t="s">
        <v>11</v>
      </c>
      <c r="H9" s="15"/>
    </row>
    <row r="10">
      <c r="B10" s="16" t="s">
        <v>12</v>
      </c>
      <c r="C10" s="17"/>
      <c r="D10" s="11"/>
      <c r="E10" s="18"/>
      <c r="F10" s="18">
        <f>SUMPRODUCT(E7:E9,F7:F9)</f>
        <v>8</v>
      </c>
      <c r="G10" s="19"/>
      <c r="H10" s="15"/>
    </row>
    <row r="11">
      <c r="B11" s="16" t="s">
        <v>13</v>
      </c>
      <c r="C11" s="17"/>
      <c r="D11" s="11"/>
      <c r="E11" s="20" t="s">
        <v>3</v>
      </c>
      <c r="F11" s="21" t="s">
        <v>14</v>
      </c>
      <c r="G11" s="17"/>
      <c r="H11" s="15"/>
    </row>
    <row r="12">
      <c r="B12" s="9">
        <v>1.0</v>
      </c>
      <c r="C12" s="22" t="s">
        <v>8</v>
      </c>
      <c r="D12" s="11"/>
      <c r="E12" s="12">
        <v>2.0</v>
      </c>
      <c r="F12" s="22" t="s">
        <v>15</v>
      </c>
      <c r="G12" s="17"/>
      <c r="H12" s="15"/>
    </row>
    <row r="13">
      <c r="B13" s="9">
        <v>2.0</v>
      </c>
      <c r="C13" s="22" t="s">
        <v>10</v>
      </c>
      <c r="D13" s="11"/>
      <c r="E13" s="12">
        <v>3.0</v>
      </c>
      <c r="F13" s="22" t="s">
        <v>16</v>
      </c>
      <c r="G13" s="17"/>
      <c r="H13" s="15"/>
    </row>
    <row r="14">
      <c r="B14" s="23">
        <v>3.0</v>
      </c>
      <c r="C14" s="24" t="s">
        <v>10</v>
      </c>
      <c r="D14" s="25"/>
      <c r="E14" s="26">
        <v>3.0</v>
      </c>
      <c r="F14" s="24" t="s">
        <v>17</v>
      </c>
      <c r="G14" s="27"/>
      <c r="H14" s="28"/>
    </row>
    <row r="15">
      <c r="B15" s="29"/>
      <c r="C15" s="29"/>
      <c r="D15" s="29"/>
      <c r="E15" s="29"/>
      <c r="F15" s="29"/>
      <c r="G15" s="29"/>
    </row>
    <row r="16">
      <c r="B16" s="30" t="s">
        <v>18</v>
      </c>
    </row>
    <row r="17">
      <c r="B17" s="29"/>
      <c r="C17" s="29"/>
      <c r="D17" s="29"/>
      <c r="E17" s="29"/>
      <c r="F17" s="29"/>
      <c r="G17" s="29"/>
    </row>
    <row r="18">
      <c r="B18" s="3" t="s">
        <v>19</v>
      </c>
      <c r="C18" s="4"/>
      <c r="D18" s="5"/>
      <c r="E18" s="6" t="s">
        <v>3</v>
      </c>
      <c r="F18" s="6" t="s">
        <v>20</v>
      </c>
      <c r="G18" s="7" t="s">
        <v>5</v>
      </c>
      <c r="H18" s="8"/>
    </row>
    <row r="19">
      <c r="B19" s="9">
        <v>1.0</v>
      </c>
      <c r="C19" s="10" t="s">
        <v>6</v>
      </c>
      <c r="D19" s="11"/>
      <c r="E19" s="12">
        <v>5.0</v>
      </c>
      <c r="F19" s="13">
        <v>8.0</v>
      </c>
      <c r="G19" s="22" t="s">
        <v>21</v>
      </c>
      <c r="H19" s="15"/>
    </row>
    <row r="20">
      <c r="B20" s="9">
        <v>2.0</v>
      </c>
      <c r="C20" s="10" t="s">
        <v>8</v>
      </c>
      <c r="D20" s="11"/>
      <c r="E20" s="12">
        <v>10.0</v>
      </c>
      <c r="F20" s="13">
        <v>2.0</v>
      </c>
      <c r="G20" s="22" t="s">
        <v>22</v>
      </c>
      <c r="H20" s="15"/>
    </row>
    <row r="21">
      <c r="B21" s="9">
        <v>3.0</v>
      </c>
      <c r="C21" s="10" t="s">
        <v>10</v>
      </c>
      <c r="D21" s="11"/>
      <c r="E21" s="12">
        <v>15.0</v>
      </c>
      <c r="F21" s="13">
        <v>0.0</v>
      </c>
      <c r="G21" s="22" t="s">
        <v>23</v>
      </c>
      <c r="H21" s="15"/>
    </row>
    <row r="22">
      <c r="B22" s="16" t="s">
        <v>24</v>
      </c>
      <c r="C22" s="17"/>
      <c r="D22" s="11"/>
      <c r="E22" s="18"/>
      <c r="F22" s="20">
        <f> SUMPRODUCT(E19:E21,F19:F21)</f>
        <v>60</v>
      </c>
      <c r="G22" s="19"/>
      <c r="H22" s="15"/>
    </row>
    <row r="23">
      <c r="B23" s="16" t="s">
        <v>25</v>
      </c>
      <c r="C23" s="17"/>
      <c r="D23" s="11"/>
      <c r="E23" s="20" t="s">
        <v>3</v>
      </c>
      <c r="F23" s="21" t="s">
        <v>26</v>
      </c>
      <c r="G23" s="17"/>
      <c r="H23" s="15"/>
    </row>
    <row r="24">
      <c r="B24" s="9">
        <v>1.0</v>
      </c>
      <c r="C24" s="22" t="s">
        <v>6</v>
      </c>
      <c r="D24" s="11"/>
      <c r="E24" s="12">
        <v>5.0</v>
      </c>
      <c r="F24" s="22" t="s">
        <v>27</v>
      </c>
      <c r="G24" s="17"/>
      <c r="H24" s="15"/>
    </row>
    <row r="25">
      <c r="B25" s="9">
        <v>2.0</v>
      </c>
      <c r="C25" s="22" t="s">
        <v>6</v>
      </c>
      <c r="D25" s="11"/>
      <c r="E25" s="12">
        <v>5.0</v>
      </c>
      <c r="F25" s="22" t="s">
        <v>28</v>
      </c>
      <c r="G25" s="17"/>
      <c r="H25" s="15"/>
    </row>
    <row r="26">
      <c r="B26" s="9">
        <v>3.0</v>
      </c>
      <c r="C26" s="22" t="s">
        <v>6</v>
      </c>
      <c r="D26" s="11"/>
      <c r="E26" s="12">
        <v>5.0</v>
      </c>
      <c r="F26" s="22" t="s">
        <v>29</v>
      </c>
      <c r="G26" s="17"/>
      <c r="H26" s="15"/>
    </row>
    <row r="27">
      <c r="B27" s="9">
        <v>4.0</v>
      </c>
      <c r="C27" s="22" t="s">
        <v>6</v>
      </c>
      <c r="D27" s="11"/>
      <c r="E27" s="12">
        <v>5.0</v>
      </c>
      <c r="F27" s="22" t="s">
        <v>30</v>
      </c>
      <c r="G27" s="17"/>
      <c r="H27" s="15"/>
    </row>
    <row r="28">
      <c r="B28" s="9">
        <v>5.0</v>
      </c>
      <c r="C28" s="22" t="s">
        <v>6</v>
      </c>
      <c r="D28" s="11"/>
      <c r="E28" s="12">
        <v>5.0</v>
      </c>
      <c r="F28" s="22" t="s">
        <v>31</v>
      </c>
      <c r="G28" s="17"/>
      <c r="H28" s="15"/>
    </row>
    <row r="29">
      <c r="B29" s="9">
        <v>6.0</v>
      </c>
      <c r="C29" s="22" t="s">
        <v>6</v>
      </c>
      <c r="D29" s="11"/>
      <c r="E29" s="12">
        <v>5.0</v>
      </c>
      <c r="F29" s="22" t="s">
        <v>32</v>
      </c>
      <c r="G29" s="17"/>
      <c r="H29" s="15"/>
    </row>
    <row r="30">
      <c r="B30" s="9">
        <v>7.0</v>
      </c>
      <c r="C30" s="22" t="s">
        <v>6</v>
      </c>
      <c r="D30" s="11"/>
      <c r="E30" s="12">
        <v>5.0</v>
      </c>
      <c r="F30" s="22" t="s">
        <v>33</v>
      </c>
      <c r="G30" s="17"/>
      <c r="H30" s="15"/>
    </row>
    <row r="31">
      <c r="B31" s="9">
        <v>8.0</v>
      </c>
      <c r="C31" s="22" t="s">
        <v>8</v>
      </c>
      <c r="D31" s="11"/>
      <c r="E31" s="12">
        <v>10.0</v>
      </c>
      <c r="F31" s="22" t="s">
        <v>34</v>
      </c>
      <c r="G31" s="17"/>
      <c r="H31" s="15"/>
    </row>
    <row r="32">
      <c r="B32" s="9">
        <v>9.0</v>
      </c>
      <c r="C32" s="22" t="s">
        <v>8</v>
      </c>
      <c r="D32" s="11"/>
      <c r="E32" s="12">
        <v>10.0</v>
      </c>
      <c r="F32" s="22" t="s">
        <v>35</v>
      </c>
      <c r="G32" s="17"/>
      <c r="H32" s="15"/>
    </row>
    <row r="33">
      <c r="B33" s="23">
        <v>10.0</v>
      </c>
      <c r="C33" s="24" t="s">
        <v>6</v>
      </c>
      <c r="D33" s="25"/>
      <c r="E33" s="26">
        <v>5.0</v>
      </c>
      <c r="F33" s="24" t="s">
        <v>36</v>
      </c>
      <c r="G33" s="27"/>
      <c r="H33" s="28"/>
    </row>
    <row r="34">
      <c r="B34" s="31"/>
      <c r="C34" s="31"/>
      <c r="D34" s="31"/>
      <c r="E34" s="31"/>
      <c r="F34" s="31"/>
      <c r="G34" s="31"/>
    </row>
    <row r="35">
      <c r="B35" s="30" t="s">
        <v>37</v>
      </c>
    </row>
    <row r="36">
      <c r="B36" s="31"/>
      <c r="C36" s="31"/>
      <c r="D36" s="31"/>
      <c r="E36" s="31"/>
      <c r="F36" s="31"/>
      <c r="G36" s="31"/>
    </row>
    <row r="37">
      <c r="B37" s="3" t="s">
        <v>38</v>
      </c>
      <c r="C37" s="4"/>
      <c r="D37" s="5"/>
      <c r="E37" s="6" t="s">
        <v>3</v>
      </c>
      <c r="F37" s="6" t="s">
        <v>39</v>
      </c>
      <c r="G37" s="7" t="s">
        <v>5</v>
      </c>
      <c r="H37" s="8"/>
    </row>
    <row r="38">
      <c r="B38" s="9">
        <v>1.0</v>
      </c>
      <c r="C38" s="32" t="s">
        <v>40</v>
      </c>
      <c r="D38" s="11"/>
      <c r="E38" s="12">
        <v>1.5</v>
      </c>
      <c r="F38" s="13">
        <v>4.0</v>
      </c>
      <c r="G38" s="14" t="s">
        <v>41</v>
      </c>
      <c r="H38" s="15"/>
    </row>
    <row r="39">
      <c r="B39" s="9">
        <v>2.0</v>
      </c>
      <c r="C39" s="32" t="s">
        <v>42</v>
      </c>
      <c r="D39" s="11"/>
      <c r="E39" s="12">
        <v>0.5</v>
      </c>
      <c r="F39" s="13">
        <v>4.0</v>
      </c>
      <c r="G39" s="14" t="s">
        <v>43</v>
      </c>
      <c r="H39" s="15"/>
    </row>
    <row r="40">
      <c r="B40" s="9">
        <v>3.0</v>
      </c>
      <c r="C40" s="32" t="s">
        <v>44</v>
      </c>
      <c r="D40" s="11"/>
      <c r="E40" s="12">
        <v>1.0</v>
      </c>
      <c r="F40" s="13">
        <v>5.0</v>
      </c>
      <c r="G40" s="14" t="s">
        <v>45</v>
      </c>
      <c r="H40" s="15"/>
    </row>
    <row r="41">
      <c r="B41" s="9">
        <v>4.0</v>
      </c>
      <c r="C41" s="32" t="s">
        <v>46</v>
      </c>
      <c r="D41" s="11"/>
      <c r="E41" s="12">
        <v>0.5</v>
      </c>
      <c r="F41" s="13">
        <v>5.0</v>
      </c>
      <c r="G41" s="14" t="s">
        <v>47</v>
      </c>
      <c r="H41" s="15"/>
    </row>
    <row r="42">
      <c r="B42" s="9">
        <v>5.0</v>
      </c>
      <c r="C42" s="10" t="s">
        <v>48</v>
      </c>
      <c r="D42" s="11"/>
      <c r="E42" s="12">
        <v>1.0</v>
      </c>
      <c r="F42" s="13">
        <v>5.0</v>
      </c>
      <c r="G42" s="14" t="s">
        <v>49</v>
      </c>
      <c r="H42" s="15"/>
    </row>
    <row r="43">
      <c r="B43" s="9">
        <v>6.0</v>
      </c>
      <c r="C43" s="10" t="s">
        <v>50</v>
      </c>
      <c r="D43" s="11"/>
      <c r="E43" s="12">
        <v>2.0</v>
      </c>
      <c r="F43" s="13">
        <v>4.0</v>
      </c>
      <c r="G43" s="14" t="s">
        <v>51</v>
      </c>
      <c r="H43" s="15"/>
    </row>
    <row r="44">
      <c r="B44" s="9">
        <v>7.0</v>
      </c>
      <c r="C44" s="10" t="s">
        <v>52</v>
      </c>
      <c r="D44" s="11"/>
      <c r="E44" s="12">
        <v>-1.0</v>
      </c>
      <c r="F44" s="13">
        <v>1.0</v>
      </c>
      <c r="G44" s="14" t="s">
        <v>53</v>
      </c>
      <c r="H44" s="15"/>
    </row>
    <row r="45">
      <c r="B45" s="9">
        <v>8.0</v>
      </c>
      <c r="C45" s="10" t="s">
        <v>54</v>
      </c>
      <c r="D45" s="11"/>
      <c r="E45" s="12">
        <v>-1.0</v>
      </c>
      <c r="F45" s="13">
        <v>3.0</v>
      </c>
      <c r="G45" s="14" t="s">
        <v>55</v>
      </c>
      <c r="H45" s="15"/>
    </row>
    <row r="46">
      <c r="B46" s="33" t="s">
        <v>56</v>
      </c>
      <c r="C46" s="27"/>
      <c r="D46" s="25"/>
      <c r="E46" s="34"/>
      <c r="F46" s="35">
        <f>1.4+(-0.03*(SUMPRODUCT(E38:E45,F38:F45)))</f>
        <v>0.665</v>
      </c>
      <c r="G46" s="36"/>
      <c r="H46" s="28"/>
    </row>
    <row r="47">
      <c r="B47" s="31"/>
      <c r="C47" s="31"/>
      <c r="D47" s="31"/>
      <c r="E47" s="31"/>
      <c r="F47" s="31"/>
      <c r="G47" s="31"/>
    </row>
    <row r="48">
      <c r="B48" s="30" t="s">
        <v>57</v>
      </c>
    </row>
    <row r="49">
      <c r="B49" s="31"/>
      <c r="C49" s="31"/>
      <c r="D49" s="31"/>
      <c r="E49" s="31"/>
      <c r="F49" s="31"/>
      <c r="G49" s="31"/>
    </row>
    <row r="50">
      <c r="B50" s="3" t="s">
        <v>58</v>
      </c>
      <c r="C50" s="4"/>
      <c r="D50" s="5"/>
      <c r="E50" s="6" t="s">
        <v>3</v>
      </c>
      <c r="F50" s="6" t="s">
        <v>39</v>
      </c>
      <c r="G50" s="7" t="s">
        <v>5</v>
      </c>
      <c r="H50" s="8"/>
    </row>
    <row r="51">
      <c r="B51" s="9">
        <v>1.0</v>
      </c>
      <c r="C51" s="10" t="s">
        <v>59</v>
      </c>
      <c r="D51" s="11"/>
      <c r="E51" s="12">
        <v>2.0</v>
      </c>
      <c r="F51" s="13">
        <v>1.0</v>
      </c>
      <c r="G51" s="14" t="s">
        <v>60</v>
      </c>
      <c r="H51" s="15"/>
    </row>
    <row r="52">
      <c r="B52" s="9">
        <v>2.0</v>
      </c>
      <c r="C52" s="10" t="s">
        <v>61</v>
      </c>
      <c r="D52" s="11"/>
      <c r="E52" s="12">
        <v>1.0</v>
      </c>
      <c r="F52" s="13">
        <v>3.0</v>
      </c>
      <c r="G52" s="14" t="s">
        <v>62</v>
      </c>
      <c r="H52" s="15"/>
    </row>
    <row r="53">
      <c r="B53" s="9">
        <v>3.0</v>
      </c>
      <c r="C53" s="10" t="s">
        <v>63</v>
      </c>
      <c r="D53" s="11"/>
      <c r="E53" s="12">
        <v>1.0</v>
      </c>
      <c r="F53" s="13">
        <v>4.0</v>
      </c>
      <c r="G53" s="14" t="s">
        <v>64</v>
      </c>
      <c r="H53" s="15"/>
    </row>
    <row r="54">
      <c r="B54" s="9">
        <v>4.0</v>
      </c>
      <c r="C54" s="10" t="s">
        <v>65</v>
      </c>
      <c r="D54" s="11"/>
      <c r="E54" s="12">
        <v>1.0</v>
      </c>
      <c r="F54" s="13">
        <v>2.0</v>
      </c>
      <c r="G54" s="14" t="s">
        <v>66</v>
      </c>
      <c r="H54" s="15"/>
    </row>
    <row r="55">
      <c r="B55" s="9">
        <v>5.0</v>
      </c>
      <c r="C55" s="10" t="s">
        <v>67</v>
      </c>
      <c r="D55" s="11"/>
      <c r="E55" s="12">
        <v>1.0</v>
      </c>
      <c r="F55" s="13">
        <v>2.0</v>
      </c>
      <c r="G55" s="14" t="s">
        <v>68</v>
      </c>
      <c r="H55" s="15"/>
    </row>
    <row r="56">
      <c r="B56" s="9">
        <v>6.0</v>
      </c>
      <c r="C56" s="10" t="s">
        <v>69</v>
      </c>
      <c r="D56" s="11"/>
      <c r="E56" s="12">
        <v>0.5</v>
      </c>
      <c r="F56" s="13">
        <v>4.0</v>
      </c>
      <c r="G56" s="14" t="s">
        <v>70</v>
      </c>
      <c r="H56" s="15"/>
    </row>
    <row r="57">
      <c r="B57" s="9">
        <v>7.0</v>
      </c>
      <c r="C57" s="10" t="s">
        <v>71</v>
      </c>
      <c r="D57" s="11"/>
      <c r="E57" s="12">
        <v>0.5</v>
      </c>
      <c r="F57" s="13">
        <v>4.0</v>
      </c>
      <c r="G57" s="14" t="s">
        <v>72</v>
      </c>
      <c r="H57" s="15"/>
    </row>
    <row r="58">
      <c r="B58" s="9">
        <v>8.0</v>
      </c>
      <c r="C58" s="32" t="s">
        <v>73</v>
      </c>
      <c r="D58" s="11"/>
      <c r="E58" s="37">
        <v>2.0</v>
      </c>
      <c r="F58" s="13">
        <v>3.0</v>
      </c>
      <c r="G58" s="38" t="s">
        <v>74</v>
      </c>
      <c r="H58" s="15"/>
    </row>
    <row r="59">
      <c r="B59" s="9">
        <v>9.0</v>
      </c>
      <c r="C59" s="32" t="s">
        <v>75</v>
      </c>
      <c r="D59" s="11"/>
      <c r="E59" s="37">
        <v>1.0</v>
      </c>
      <c r="F59" s="13">
        <v>3.0</v>
      </c>
      <c r="G59" s="38" t="s">
        <v>76</v>
      </c>
      <c r="H59" s="15"/>
    </row>
    <row r="60">
      <c r="B60" s="9">
        <v>10.0</v>
      </c>
      <c r="C60" s="32" t="s">
        <v>77</v>
      </c>
      <c r="D60" s="11"/>
      <c r="E60" s="37">
        <v>1.0</v>
      </c>
      <c r="F60" s="13">
        <v>2.0</v>
      </c>
      <c r="G60" s="38" t="s">
        <v>78</v>
      </c>
      <c r="H60" s="15"/>
    </row>
    <row r="61">
      <c r="B61" s="9">
        <v>11.0</v>
      </c>
      <c r="C61" s="32" t="s">
        <v>79</v>
      </c>
      <c r="D61" s="11"/>
      <c r="E61" s="37">
        <v>1.0</v>
      </c>
      <c r="F61" s="13">
        <v>3.0</v>
      </c>
      <c r="G61" s="38" t="s">
        <v>80</v>
      </c>
      <c r="H61" s="15"/>
    </row>
    <row r="62">
      <c r="B62" s="9">
        <v>12.0</v>
      </c>
      <c r="C62" s="10" t="s">
        <v>81</v>
      </c>
      <c r="D62" s="11"/>
      <c r="E62" s="12">
        <v>1.0</v>
      </c>
      <c r="F62" s="13">
        <v>2.0</v>
      </c>
      <c r="G62" s="39" t="s">
        <v>82</v>
      </c>
      <c r="H62" s="15"/>
    </row>
    <row r="63">
      <c r="B63" s="9">
        <v>13.0</v>
      </c>
      <c r="C63" s="10" t="s">
        <v>83</v>
      </c>
      <c r="D63" s="11"/>
      <c r="E63" s="12">
        <v>1.0</v>
      </c>
      <c r="F63" s="13">
        <v>3.0</v>
      </c>
      <c r="G63" s="39" t="s">
        <v>84</v>
      </c>
      <c r="H63" s="15"/>
    </row>
    <row r="64">
      <c r="B64" s="40" t="s">
        <v>85</v>
      </c>
      <c r="C64" s="27"/>
      <c r="D64" s="25"/>
      <c r="E64" s="41"/>
      <c r="F64" s="42">
        <f>0.6 + (0.01*(SUMPRODUCT(E51:E63,F51:F63)))</f>
        <v>0.96</v>
      </c>
      <c r="G64" s="43"/>
      <c r="H64" s="28"/>
    </row>
    <row r="66">
      <c r="B66" s="2" t="s">
        <v>86</v>
      </c>
    </row>
    <row r="68">
      <c r="B68" s="44" t="s">
        <v>87</v>
      </c>
      <c r="C68" s="4"/>
      <c r="D68" s="4"/>
      <c r="E68" s="4"/>
      <c r="F68" s="4"/>
      <c r="G68" s="4"/>
      <c r="H68" s="8"/>
    </row>
    <row r="69">
      <c r="B69" s="45" t="s">
        <v>88</v>
      </c>
      <c r="C69" s="17"/>
      <c r="D69" s="46" t="s">
        <v>89</v>
      </c>
      <c r="E69" s="17"/>
      <c r="F69" s="17"/>
      <c r="G69" s="11"/>
      <c r="H69" s="47">
        <f>F64</f>
        <v>0.96</v>
      </c>
    </row>
    <row r="70">
      <c r="B70" s="45" t="s">
        <v>90</v>
      </c>
      <c r="C70" s="17"/>
      <c r="D70" s="46" t="s">
        <v>91</v>
      </c>
      <c r="E70" s="17"/>
      <c r="F70" s="17"/>
      <c r="G70" s="11"/>
      <c r="H70" s="48">
        <f>F46</f>
        <v>0.665</v>
      </c>
    </row>
    <row r="71">
      <c r="B71" s="45" t="s">
        <v>92</v>
      </c>
      <c r="C71" s="17"/>
      <c r="D71" s="46" t="s">
        <v>93</v>
      </c>
      <c r="E71" s="17"/>
      <c r="F71" s="17"/>
      <c r="G71" s="11"/>
      <c r="H71" s="47">
        <f>F22</f>
        <v>60</v>
      </c>
    </row>
    <row r="72">
      <c r="B72" s="45" t="s">
        <v>94</v>
      </c>
      <c r="C72" s="17"/>
      <c r="D72" s="46" t="s">
        <v>95</v>
      </c>
      <c r="E72" s="17"/>
      <c r="F72" s="17"/>
      <c r="G72" s="11"/>
      <c r="H72" s="47">
        <f>F10</f>
        <v>8</v>
      </c>
    </row>
    <row r="73">
      <c r="B73" s="49" t="s">
        <v>96</v>
      </c>
      <c r="C73" s="17"/>
      <c r="D73" s="17"/>
      <c r="E73" s="17"/>
      <c r="F73" s="17"/>
      <c r="G73" s="17"/>
      <c r="H73" s="15"/>
    </row>
    <row r="74">
      <c r="B74" s="45" t="s">
        <v>97</v>
      </c>
      <c r="C74" s="17"/>
      <c r="D74" s="46" t="s">
        <v>98</v>
      </c>
      <c r="E74" s="17"/>
      <c r="F74" s="17"/>
      <c r="G74" s="11"/>
      <c r="H74" s="50">
        <f>(H72+H71)*H70*H69</f>
        <v>43.4112</v>
      </c>
    </row>
    <row r="75">
      <c r="B75" s="49" t="s">
        <v>99</v>
      </c>
      <c r="C75" s="17"/>
      <c r="D75" s="17"/>
      <c r="E75" s="17"/>
      <c r="F75" s="17"/>
      <c r="G75" s="17"/>
      <c r="H75" s="15"/>
    </row>
    <row r="76">
      <c r="B76" s="45" t="s">
        <v>100</v>
      </c>
      <c r="C76" s="17"/>
      <c r="D76" s="46" t="s">
        <v>101</v>
      </c>
      <c r="E76" s="17"/>
      <c r="F76" s="17"/>
      <c r="G76" s="11"/>
      <c r="H76" s="47">
        <v>28.0</v>
      </c>
    </row>
    <row r="77">
      <c r="B77" s="51"/>
      <c r="C77" s="17"/>
      <c r="D77" s="17"/>
      <c r="E77" s="17"/>
      <c r="F77" s="17"/>
      <c r="G77" s="17"/>
      <c r="H77" s="15"/>
    </row>
    <row r="78" ht="25.5" customHeight="1">
      <c r="B78" s="52" t="s">
        <v>102</v>
      </c>
      <c r="C78" s="27"/>
      <c r="D78" s="27"/>
      <c r="E78" s="27"/>
      <c r="F78" s="27"/>
      <c r="G78" s="25"/>
      <c r="H78" s="53">
        <f>H76*H74</f>
        <v>1215.5136</v>
      </c>
    </row>
  </sheetData>
  <mergeCells count="123">
    <mergeCell ref="F32:H32"/>
    <mergeCell ref="F33:H33"/>
    <mergeCell ref="F25:H25"/>
    <mergeCell ref="F26:H26"/>
    <mergeCell ref="F27:H27"/>
    <mergeCell ref="F28:H28"/>
    <mergeCell ref="F29:H29"/>
    <mergeCell ref="F30:H30"/>
    <mergeCell ref="F31:H31"/>
    <mergeCell ref="G38:H38"/>
    <mergeCell ref="G39:H39"/>
    <mergeCell ref="C32:D32"/>
    <mergeCell ref="C33:D33"/>
    <mergeCell ref="B35:H35"/>
    <mergeCell ref="B37:D37"/>
    <mergeCell ref="G37:H37"/>
    <mergeCell ref="C38:D38"/>
    <mergeCell ref="C39:D39"/>
    <mergeCell ref="C43:D43"/>
    <mergeCell ref="C44:D44"/>
    <mergeCell ref="C45:D45"/>
    <mergeCell ref="C40:D40"/>
    <mergeCell ref="G40:H40"/>
    <mergeCell ref="C41:D41"/>
    <mergeCell ref="G41:H41"/>
    <mergeCell ref="C42:D42"/>
    <mergeCell ref="G42:H42"/>
    <mergeCell ref="G43:H43"/>
    <mergeCell ref="G50:H50"/>
    <mergeCell ref="G51:H51"/>
    <mergeCell ref="G44:H44"/>
    <mergeCell ref="G45:H45"/>
    <mergeCell ref="B46:D46"/>
    <mergeCell ref="G46:H46"/>
    <mergeCell ref="B48:H48"/>
    <mergeCell ref="B50:D50"/>
    <mergeCell ref="C51:D51"/>
    <mergeCell ref="C52:D52"/>
    <mergeCell ref="G52:H52"/>
    <mergeCell ref="C53:D53"/>
    <mergeCell ref="G53:H53"/>
    <mergeCell ref="C54:D54"/>
    <mergeCell ref="G54:H54"/>
    <mergeCell ref="G55:H55"/>
    <mergeCell ref="G59:H59"/>
    <mergeCell ref="G60:H60"/>
    <mergeCell ref="C55:D55"/>
    <mergeCell ref="C56:D56"/>
    <mergeCell ref="C57:D57"/>
    <mergeCell ref="C58:D58"/>
    <mergeCell ref="G58:H58"/>
    <mergeCell ref="C59:D59"/>
    <mergeCell ref="C60:D60"/>
    <mergeCell ref="C61:D61"/>
    <mergeCell ref="G61:H61"/>
    <mergeCell ref="C62:D62"/>
    <mergeCell ref="G62:H62"/>
    <mergeCell ref="C63:D63"/>
    <mergeCell ref="G63:H63"/>
    <mergeCell ref="G64:H64"/>
    <mergeCell ref="B64:D64"/>
    <mergeCell ref="B66:H66"/>
    <mergeCell ref="B68:H68"/>
    <mergeCell ref="B69:C69"/>
    <mergeCell ref="D69:G69"/>
    <mergeCell ref="B70:C70"/>
    <mergeCell ref="D70:G70"/>
    <mergeCell ref="B74:C74"/>
    <mergeCell ref="B76:C76"/>
    <mergeCell ref="D76:G76"/>
    <mergeCell ref="B77:H77"/>
    <mergeCell ref="B78:G78"/>
    <mergeCell ref="B71:C71"/>
    <mergeCell ref="D71:G71"/>
    <mergeCell ref="B72:C72"/>
    <mergeCell ref="D72:G72"/>
    <mergeCell ref="B73:H73"/>
    <mergeCell ref="D74:G74"/>
    <mergeCell ref="B75:H75"/>
    <mergeCell ref="B2:H2"/>
    <mergeCell ref="B4:H4"/>
    <mergeCell ref="B6:D6"/>
    <mergeCell ref="G6:H6"/>
    <mergeCell ref="C7:D7"/>
    <mergeCell ref="G7:H7"/>
    <mergeCell ref="G8:H8"/>
    <mergeCell ref="C8:D8"/>
    <mergeCell ref="C9:D9"/>
    <mergeCell ref="B10:D10"/>
    <mergeCell ref="B11:D11"/>
    <mergeCell ref="C12:D12"/>
    <mergeCell ref="C13:D13"/>
    <mergeCell ref="C14:D14"/>
    <mergeCell ref="G9:H9"/>
    <mergeCell ref="G10:H10"/>
    <mergeCell ref="F11:H11"/>
    <mergeCell ref="F12:H12"/>
    <mergeCell ref="F13:H13"/>
    <mergeCell ref="F14:H14"/>
    <mergeCell ref="B16:H16"/>
    <mergeCell ref="B18:D18"/>
    <mergeCell ref="C19:D19"/>
    <mergeCell ref="C20:D20"/>
    <mergeCell ref="C21:D21"/>
    <mergeCell ref="B22:D22"/>
    <mergeCell ref="B23:D23"/>
    <mergeCell ref="C24:D24"/>
    <mergeCell ref="G18:H18"/>
    <mergeCell ref="G19:H19"/>
    <mergeCell ref="G20:H20"/>
    <mergeCell ref="G21:H21"/>
    <mergeCell ref="G22:H22"/>
    <mergeCell ref="F23:H23"/>
    <mergeCell ref="F24:H24"/>
    <mergeCell ref="C25:D25"/>
    <mergeCell ref="C26:D26"/>
    <mergeCell ref="C27:D27"/>
    <mergeCell ref="C28:D28"/>
    <mergeCell ref="C29:D29"/>
    <mergeCell ref="C30:D30"/>
    <mergeCell ref="C31:D31"/>
    <mergeCell ref="G56:H56"/>
    <mergeCell ref="G57:H57"/>
  </mergeCells>
  <printOptions gridLines="1" horizontalCentered="1"/>
  <pageMargins bottom="0.75" footer="0.0" header="0.0" left="0.7" right="0.7" top="0.75"/>
  <pageSetup fitToWidth="0" cellComments="atEnd" orientation="portrait" pageOrder="overThenDown" paperHeight="39.370078740157474in" paperWidth="11.811023622047244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
    <col customWidth="1" min="3" max="3" width="9.0"/>
    <col customWidth="1" min="4" max="4" width="11.5"/>
    <col customWidth="1" min="5" max="5" width="10.75"/>
    <col customWidth="1" min="6" max="6" width="15.13"/>
    <col customWidth="1" min="7" max="7" width="28.13"/>
    <col customWidth="1" min="8" max="8" width="16.63"/>
  </cols>
  <sheetData>
    <row r="2">
      <c r="B2" s="1" t="s">
        <v>0</v>
      </c>
    </row>
    <row r="4">
      <c r="B4" s="2" t="s">
        <v>1</v>
      </c>
    </row>
    <row r="6">
      <c r="B6" s="3" t="s">
        <v>2</v>
      </c>
      <c r="C6" s="4"/>
      <c r="D6" s="5"/>
      <c r="E6" s="6" t="s">
        <v>3</v>
      </c>
      <c r="F6" s="6" t="s">
        <v>4</v>
      </c>
      <c r="G6" s="7" t="s">
        <v>5</v>
      </c>
      <c r="H6" s="8"/>
    </row>
    <row r="7">
      <c r="B7" s="9">
        <v>1.0</v>
      </c>
      <c r="C7" s="10" t="s">
        <v>6</v>
      </c>
      <c r="D7" s="11"/>
      <c r="E7" s="12">
        <v>1.0</v>
      </c>
      <c r="F7" s="13">
        <v>0.0</v>
      </c>
      <c r="G7" s="14" t="s">
        <v>7</v>
      </c>
      <c r="H7" s="15"/>
    </row>
    <row r="8">
      <c r="B8" s="9">
        <v>2.0</v>
      </c>
      <c r="C8" s="10" t="s">
        <v>8</v>
      </c>
      <c r="D8" s="11"/>
      <c r="E8" s="12">
        <v>2.0</v>
      </c>
      <c r="F8" s="13">
        <v>1.0</v>
      </c>
      <c r="G8" s="14" t="s">
        <v>9</v>
      </c>
      <c r="H8" s="15"/>
    </row>
    <row r="9">
      <c r="B9" s="9">
        <v>3.0</v>
      </c>
      <c r="C9" s="10" t="s">
        <v>10</v>
      </c>
      <c r="D9" s="11"/>
      <c r="E9" s="12">
        <v>3.0</v>
      </c>
      <c r="F9" s="13">
        <v>2.0</v>
      </c>
      <c r="G9" s="14" t="s">
        <v>11</v>
      </c>
      <c r="H9" s="15"/>
    </row>
    <row r="10">
      <c r="B10" s="16" t="s">
        <v>12</v>
      </c>
      <c r="C10" s="17"/>
      <c r="D10" s="11"/>
      <c r="E10" s="18"/>
      <c r="F10" s="18">
        <f>SUMPRODUCT(E7:E9,F7:F9)</f>
        <v>8</v>
      </c>
      <c r="G10" s="19"/>
      <c r="H10" s="15"/>
    </row>
    <row r="11">
      <c r="B11" s="16" t="s">
        <v>13</v>
      </c>
      <c r="C11" s="17"/>
      <c r="D11" s="11"/>
      <c r="E11" s="20" t="s">
        <v>3</v>
      </c>
      <c r="F11" s="21" t="s">
        <v>14</v>
      </c>
      <c r="G11" s="17"/>
      <c r="H11" s="15"/>
    </row>
    <row r="12">
      <c r="B12" s="9">
        <v>1.0</v>
      </c>
      <c r="C12" s="22" t="s">
        <v>8</v>
      </c>
      <c r="D12" s="11"/>
      <c r="E12" s="12">
        <v>2.0</v>
      </c>
      <c r="F12" s="22" t="s">
        <v>15</v>
      </c>
      <c r="G12" s="17"/>
      <c r="H12" s="15"/>
    </row>
    <row r="13">
      <c r="B13" s="9">
        <v>2.0</v>
      </c>
      <c r="C13" s="22" t="s">
        <v>10</v>
      </c>
      <c r="D13" s="11"/>
      <c r="E13" s="12">
        <v>3.0</v>
      </c>
      <c r="F13" s="22" t="s">
        <v>16</v>
      </c>
      <c r="G13" s="17"/>
      <c r="H13" s="15"/>
    </row>
    <row r="14">
      <c r="B14" s="23">
        <v>3.0</v>
      </c>
      <c r="C14" s="24" t="s">
        <v>10</v>
      </c>
      <c r="D14" s="25"/>
      <c r="E14" s="26">
        <v>3.0</v>
      </c>
      <c r="F14" s="24" t="s">
        <v>17</v>
      </c>
      <c r="G14" s="27"/>
      <c r="H14" s="28"/>
    </row>
    <row r="15">
      <c r="B15" s="29"/>
      <c r="C15" s="29"/>
      <c r="D15" s="29"/>
      <c r="E15" s="29"/>
      <c r="F15" s="29"/>
      <c r="G15" s="29"/>
    </row>
    <row r="16">
      <c r="B16" s="30" t="s">
        <v>18</v>
      </c>
    </row>
    <row r="17">
      <c r="B17" s="29"/>
      <c r="C17" s="29"/>
      <c r="D17" s="29"/>
      <c r="E17" s="29"/>
      <c r="F17" s="29"/>
      <c r="G17" s="29"/>
    </row>
    <row r="18">
      <c r="B18" s="3" t="s">
        <v>19</v>
      </c>
      <c r="C18" s="4"/>
      <c r="D18" s="5"/>
      <c r="E18" s="6" t="s">
        <v>3</v>
      </c>
      <c r="F18" s="6" t="s">
        <v>20</v>
      </c>
      <c r="G18" s="7" t="s">
        <v>5</v>
      </c>
      <c r="H18" s="8"/>
    </row>
    <row r="19">
      <c r="B19" s="9">
        <v>1.0</v>
      </c>
      <c r="C19" s="10" t="s">
        <v>6</v>
      </c>
      <c r="D19" s="11"/>
      <c r="E19" s="12">
        <v>5.0</v>
      </c>
      <c r="F19" s="13">
        <v>8.0</v>
      </c>
      <c r="G19" s="22" t="s">
        <v>21</v>
      </c>
      <c r="H19" s="15"/>
    </row>
    <row r="20">
      <c r="B20" s="9">
        <v>2.0</v>
      </c>
      <c r="C20" s="10" t="s">
        <v>8</v>
      </c>
      <c r="D20" s="11"/>
      <c r="E20" s="12">
        <v>10.0</v>
      </c>
      <c r="F20" s="13">
        <v>2.0</v>
      </c>
      <c r="G20" s="22" t="s">
        <v>22</v>
      </c>
      <c r="H20" s="15"/>
    </row>
    <row r="21">
      <c r="B21" s="9">
        <v>3.0</v>
      </c>
      <c r="C21" s="10" t="s">
        <v>10</v>
      </c>
      <c r="D21" s="11"/>
      <c r="E21" s="12">
        <v>15.0</v>
      </c>
      <c r="F21" s="13">
        <v>0.0</v>
      </c>
      <c r="G21" s="22" t="s">
        <v>23</v>
      </c>
      <c r="H21" s="15"/>
    </row>
    <row r="22">
      <c r="B22" s="16" t="s">
        <v>24</v>
      </c>
      <c r="C22" s="17"/>
      <c r="D22" s="11"/>
      <c r="E22" s="18"/>
      <c r="F22" s="20">
        <f> SUMPRODUCT(E19:E21,F19:F21)</f>
        <v>60</v>
      </c>
      <c r="G22" s="19"/>
      <c r="H22" s="15"/>
    </row>
    <row r="23">
      <c r="B23" s="16" t="s">
        <v>25</v>
      </c>
      <c r="C23" s="17"/>
      <c r="D23" s="11"/>
      <c r="E23" s="20" t="s">
        <v>3</v>
      </c>
      <c r="F23" s="21" t="s">
        <v>26</v>
      </c>
      <c r="G23" s="17"/>
      <c r="H23" s="15"/>
    </row>
    <row r="24">
      <c r="B24" s="9">
        <v>1.0</v>
      </c>
      <c r="C24" s="22" t="s">
        <v>6</v>
      </c>
      <c r="D24" s="11"/>
      <c r="E24" s="12">
        <v>5.0</v>
      </c>
      <c r="F24" s="22" t="s">
        <v>27</v>
      </c>
      <c r="G24" s="17"/>
      <c r="H24" s="15"/>
    </row>
    <row r="25">
      <c r="B25" s="9">
        <v>2.0</v>
      </c>
      <c r="C25" s="22" t="s">
        <v>6</v>
      </c>
      <c r="D25" s="11"/>
      <c r="E25" s="12">
        <v>5.0</v>
      </c>
      <c r="F25" s="22" t="s">
        <v>28</v>
      </c>
      <c r="G25" s="17"/>
      <c r="H25" s="15"/>
    </row>
    <row r="26">
      <c r="B26" s="9">
        <v>3.0</v>
      </c>
      <c r="C26" s="22" t="s">
        <v>6</v>
      </c>
      <c r="D26" s="11"/>
      <c r="E26" s="12">
        <v>5.0</v>
      </c>
      <c r="F26" s="22" t="s">
        <v>29</v>
      </c>
      <c r="G26" s="17"/>
      <c r="H26" s="15"/>
    </row>
    <row r="27">
      <c r="B27" s="9">
        <v>4.0</v>
      </c>
      <c r="C27" s="22" t="s">
        <v>6</v>
      </c>
      <c r="D27" s="11"/>
      <c r="E27" s="12">
        <v>5.0</v>
      </c>
      <c r="F27" s="22" t="s">
        <v>30</v>
      </c>
      <c r="G27" s="17"/>
      <c r="H27" s="15"/>
    </row>
    <row r="28">
      <c r="B28" s="9">
        <v>5.0</v>
      </c>
      <c r="C28" s="22" t="s">
        <v>6</v>
      </c>
      <c r="D28" s="11"/>
      <c r="E28" s="12">
        <v>5.0</v>
      </c>
      <c r="F28" s="22" t="s">
        <v>31</v>
      </c>
      <c r="G28" s="17"/>
      <c r="H28" s="15"/>
    </row>
    <row r="29">
      <c r="B29" s="9">
        <v>6.0</v>
      </c>
      <c r="C29" s="22" t="s">
        <v>6</v>
      </c>
      <c r="D29" s="11"/>
      <c r="E29" s="12">
        <v>5.0</v>
      </c>
      <c r="F29" s="22" t="s">
        <v>32</v>
      </c>
      <c r="G29" s="17"/>
      <c r="H29" s="15"/>
    </row>
    <row r="30">
      <c r="B30" s="9">
        <v>7.0</v>
      </c>
      <c r="C30" s="22" t="s">
        <v>6</v>
      </c>
      <c r="D30" s="11"/>
      <c r="E30" s="12">
        <v>5.0</v>
      </c>
      <c r="F30" s="22" t="s">
        <v>33</v>
      </c>
      <c r="G30" s="17"/>
      <c r="H30" s="15"/>
    </row>
    <row r="31">
      <c r="B31" s="9">
        <v>8.0</v>
      </c>
      <c r="C31" s="22" t="s">
        <v>8</v>
      </c>
      <c r="D31" s="11"/>
      <c r="E31" s="12">
        <v>10.0</v>
      </c>
      <c r="F31" s="22" t="s">
        <v>34</v>
      </c>
      <c r="G31" s="17"/>
      <c r="H31" s="15"/>
    </row>
    <row r="32">
      <c r="B32" s="9">
        <v>9.0</v>
      </c>
      <c r="C32" s="22" t="s">
        <v>8</v>
      </c>
      <c r="D32" s="11"/>
      <c r="E32" s="12">
        <v>10.0</v>
      </c>
      <c r="F32" s="22" t="s">
        <v>35</v>
      </c>
      <c r="G32" s="17"/>
      <c r="H32" s="15"/>
    </row>
    <row r="33">
      <c r="B33" s="23">
        <v>10.0</v>
      </c>
      <c r="C33" s="24" t="s">
        <v>6</v>
      </c>
      <c r="D33" s="25"/>
      <c r="E33" s="26">
        <v>5.0</v>
      </c>
      <c r="F33" s="24" t="s">
        <v>36</v>
      </c>
      <c r="G33" s="27"/>
      <c r="H33" s="28"/>
    </row>
    <row r="34">
      <c r="B34" s="31"/>
      <c r="C34" s="31"/>
      <c r="D34" s="31"/>
      <c r="E34" s="31"/>
      <c r="F34" s="31"/>
      <c r="G34" s="31"/>
    </row>
    <row r="35">
      <c r="B35" s="30" t="s">
        <v>37</v>
      </c>
    </row>
    <row r="36">
      <c r="B36" s="31"/>
      <c r="C36" s="31"/>
      <c r="D36" s="31"/>
      <c r="E36" s="31"/>
      <c r="F36" s="31"/>
      <c r="G36" s="31"/>
    </row>
    <row r="37">
      <c r="B37" s="3" t="s">
        <v>38</v>
      </c>
      <c r="C37" s="4"/>
      <c r="D37" s="5"/>
      <c r="E37" s="6" t="s">
        <v>3</v>
      </c>
      <c r="F37" s="6" t="s">
        <v>39</v>
      </c>
      <c r="G37" s="7" t="s">
        <v>5</v>
      </c>
      <c r="H37" s="8"/>
    </row>
    <row r="38">
      <c r="B38" s="9">
        <v>1.0</v>
      </c>
      <c r="C38" s="32" t="s">
        <v>40</v>
      </c>
      <c r="D38" s="11"/>
      <c r="E38" s="12">
        <v>1.5</v>
      </c>
      <c r="F38" s="13">
        <v>0.0</v>
      </c>
      <c r="G38" s="14" t="s">
        <v>41</v>
      </c>
      <c r="H38" s="15"/>
    </row>
    <row r="39">
      <c r="B39" s="9">
        <v>2.0</v>
      </c>
      <c r="C39" s="32" t="s">
        <v>42</v>
      </c>
      <c r="D39" s="11"/>
      <c r="E39" s="12">
        <v>0.5</v>
      </c>
      <c r="F39" s="13">
        <v>0.0</v>
      </c>
      <c r="G39" s="14" t="s">
        <v>43</v>
      </c>
      <c r="H39" s="15"/>
    </row>
    <row r="40">
      <c r="B40" s="9">
        <v>3.0</v>
      </c>
      <c r="C40" s="32" t="s">
        <v>44</v>
      </c>
      <c r="D40" s="11"/>
      <c r="E40" s="12">
        <v>1.0</v>
      </c>
      <c r="F40" s="13">
        <v>0.0</v>
      </c>
      <c r="G40" s="14" t="s">
        <v>45</v>
      </c>
      <c r="H40" s="15"/>
    </row>
    <row r="41">
      <c r="B41" s="9">
        <v>4.0</v>
      </c>
      <c r="C41" s="32" t="s">
        <v>46</v>
      </c>
      <c r="D41" s="11"/>
      <c r="E41" s="12">
        <v>0.5</v>
      </c>
      <c r="F41" s="13">
        <v>0.0</v>
      </c>
      <c r="G41" s="14" t="s">
        <v>47</v>
      </c>
      <c r="H41" s="15"/>
    </row>
    <row r="42">
      <c r="B42" s="9">
        <v>5.0</v>
      </c>
      <c r="C42" s="10" t="s">
        <v>48</v>
      </c>
      <c r="D42" s="11"/>
      <c r="E42" s="12">
        <v>1.0</v>
      </c>
      <c r="F42" s="13">
        <v>0.0</v>
      </c>
      <c r="G42" s="14" t="s">
        <v>49</v>
      </c>
      <c r="H42" s="15"/>
    </row>
    <row r="43">
      <c r="B43" s="9">
        <v>6.0</v>
      </c>
      <c r="C43" s="10" t="s">
        <v>50</v>
      </c>
      <c r="D43" s="11"/>
      <c r="E43" s="12">
        <v>2.0</v>
      </c>
      <c r="F43" s="13">
        <v>0.0</v>
      </c>
      <c r="G43" s="14" t="s">
        <v>51</v>
      </c>
      <c r="H43" s="15"/>
    </row>
    <row r="44">
      <c r="B44" s="9">
        <v>7.0</v>
      </c>
      <c r="C44" s="10" t="s">
        <v>52</v>
      </c>
      <c r="D44" s="11"/>
      <c r="E44" s="12">
        <v>-1.0</v>
      </c>
      <c r="F44" s="13">
        <v>5.0</v>
      </c>
      <c r="G44" s="14" t="s">
        <v>53</v>
      </c>
      <c r="H44" s="15"/>
    </row>
    <row r="45">
      <c r="B45" s="9">
        <v>8.0</v>
      </c>
      <c r="C45" s="10" t="s">
        <v>54</v>
      </c>
      <c r="D45" s="11"/>
      <c r="E45" s="12">
        <v>-1.0</v>
      </c>
      <c r="F45" s="13">
        <v>5.0</v>
      </c>
      <c r="G45" s="14" t="s">
        <v>55</v>
      </c>
      <c r="H45" s="15"/>
    </row>
    <row r="46">
      <c r="B46" s="33" t="s">
        <v>56</v>
      </c>
      <c r="C46" s="27"/>
      <c r="D46" s="25"/>
      <c r="E46" s="34"/>
      <c r="F46" s="35">
        <f>1.4+(-0.03*(SUMPRODUCT(E38:E45,F38:F45)))</f>
        <v>1.7</v>
      </c>
      <c r="G46" s="36"/>
      <c r="H46" s="28"/>
    </row>
    <row r="47">
      <c r="B47" s="31"/>
      <c r="C47" s="31"/>
      <c r="D47" s="31"/>
      <c r="E47" s="31"/>
      <c r="F47" s="31"/>
      <c r="G47" s="31"/>
    </row>
    <row r="48">
      <c r="B48" s="30" t="s">
        <v>57</v>
      </c>
    </row>
    <row r="49">
      <c r="B49" s="31"/>
      <c r="C49" s="31"/>
      <c r="D49" s="31"/>
      <c r="E49" s="31"/>
      <c r="F49" s="31"/>
      <c r="G49" s="31"/>
    </row>
    <row r="50">
      <c r="B50" s="3" t="s">
        <v>58</v>
      </c>
      <c r="C50" s="4"/>
      <c r="D50" s="5"/>
      <c r="E50" s="6" t="s">
        <v>3</v>
      </c>
      <c r="F50" s="6" t="s">
        <v>39</v>
      </c>
      <c r="G50" s="7" t="s">
        <v>5</v>
      </c>
      <c r="H50" s="8"/>
    </row>
    <row r="51">
      <c r="B51" s="9">
        <v>1.0</v>
      </c>
      <c r="C51" s="10" t="s">
        <v>59</v>
      </c>
      <c r="D51" s="11"/>
      <c r="E51" s="12">
        <v>2.0</v>
      </c>
      <c r="F51" s="13">
        <v>5.0</v>
      </c>
      <c r="G51" s="14" t="s">
        <v>60</v>
      </c>
      <c r="H51" s="15"/>
    </row>
    <row r="52">
      <c r="B52" s="9">
        <v>2.0</v>
      </c>
      <c r="C52" s="10" t="s">
        <v>61</v>
      </c>
      <c r="D52" s="11"/>
      <c r="E52" s="12">
        <v>1.0</v>
      </c>
      <c r="F52" s="13">
        <v>5.0</v>
      </c>
      <c r="G52" s="14" t="s">
        <v>62</v>
      </c>
      <c r="H52" s="15"/>
    </row>
    <row r="53">
      <c r="B53" s="9">
        <v>3.0</v>
      </c>
      <c r="C53" s="10" t="s">
        <v>63</v>
      </c>
      <c r="D53" s="11"/>
      <c r="E53" s="12">
        <v>1.0</v>
      </c>
      <c r="F53" s="13">
        <v>5.0</v>
      </c>
      <c r="G53" s="14" t="s">
        <v>64</v>
      </c>
      <c r="H53" s="15"/>
    </row>
    <row r="54">
      <c r="B54" s="9">
        <v>4.0</v>
      </c>
      <c r="C54" s="10" t="s">
        <v>65</v>
      </c>
      <c r="D54" s="11"/>
      <c r="E54" s="12">
        <v>1.0</v>
      </c>
      <c r="F54" s="13">
        <v>5.0</v>
      </c>
      <c r="G54" s="14" t="s">
        <v>66</v>
      </c>
      <c r="H54" s="15"/>
    </row>
    <row r="55">
      <c r="B55" s="9">
        <v>5.0</v>
      </c>
      <c r="C55" s="10" t="s">
        <v>67</v>
      </c>
      <c r="D55" s="11"/>
      <c r="E55" s="12">
        <v>1.0</v>
      </c>
      <c r="F55" s="13">
        <v>5.0</v>
      </c>
      <c r="G55" s="14" t="s">
        <v>68</v>
      </c>
      <c r="H55" s="15"/>
    </row>
    <row r="56">
      <c r="B56" s="9">
        <v>6.0</v>
      </c>
      <c r="C56" s="10" t="s">
        <v>69</v>
      </c>
      <c r="D56" s="11"/>
      <c r="E56" s="12">
        <v>0.5</v>
      </c>
      <c r="F56" s="13">
        <v>5.0</v>
      </c>
      <c r="G56" s="14" t="s">
        <v>70</v>
      </c>
      <c r="H56" s="15"/>
    </row>
    <row r="57">
      <c r="B57" s="9">
        <v>7.0</v>
      </c>
      <c r="C57" s="10" t="s">
        <v>71</v>
      </c>
      <c r="D57" s="11"/>
      <c r="E57" s="12">
        <v>0.5</v>
      </c>
      <c r="F57" s="13">
        <v>5.0</v>
      </c>
      <c r="G57" s="14" t="s">
        <v>72</v>
      </c>
      <c r="H57" s="15"/>
    </row>
    <row r="58">
      <c r="B58" s="9">
        <v>8.0</v>
      </c>
      <c r="C58" s="32" t="s">
        <v>73</v>
      </c>
      <c r="D58" s="11"/>
      <c r="E58" s="37">
        <v>2.0</v>
      </c>
      <c r="F58" s="13">
        <v>5.0</v>
      </c>
      <c r="G58" s="38" t="s">
        <v>74</v>
      </c>
      <c r="H58" s="15"/>
    </row>
    <row r="59">
      <c r="B59" s="9">
        <v>9.0</v>
      </c>
      <c r="C59" s="32" t="s">
        <v>75</v>
      </c>
      <c r="D59" s="11"/>
      <c r="E59" s="37">
        <v>1.0</v>
      </c>
      <c r="F59" s="13">
        <v>5.0</v>
      </c>
      <c r="G59" s="38" t="s">
        <v>76</v>
      </c>
      <c r="H59" s="15"/>
    </row>
    <row r="60">
      <c r="B60" s="9">
        <v>10.0</v>
      </c>
      <c r="C60" s="32" t="s">
        <v>77</v>
      </c>
      <c r="D60" s="11"/>
      <c r="E60" s="37">
        <v>1.0</v>
      </c>
      <c r="F60" s="13">
        <v>5.0</v>
      </c>
      <c r="G60" s="38" t="s">
        <v>78</v>
      </c>
      <c r="H60" s="15"/>
    </row>
    <row r="61">
      <c r="B61" s="9">
        <v>11.0</v>
      </c>
      <c r="C61" s="32" t="s">
        <v>79</v>
      </c>
      <c r="D61" s="11"/>
      <c r="E61" s="37">
        <v>1.0</v>
      </c>
      <c r="F61" s="13">
        <v>5.0</v>
      </c>
      <c r="G61" s="38" t="s">
        <v>80</v>
      </c>
      <c r="H61" s="15"/>
    </row>
    <row r="62">
      <c r="B62" s="9">
        <v>12.0</v>
      </c>
      <c r="C62" s="10" t="s">
        <v>81</v>
      </c>
      <c r="D62" s="11"/>
      <c r="E62" s="12">
        <v>1.0</v>
      </c>
      <c r="F62" s="13">
        <v>5.0</v>
      </c>
      <c r="G62" s="39" t="s">
        <v>82</v>
      </c>
      <c r="H62" s="15"/>
    </row>
    <row r="63">
      <c r="B63" s="9">
        <v>13.0</v>
      </c>
      <c r="C63" s="10" t="s">
        <v>83</v>
      </c>
      <c r="D63" s="11"/>
      <c r="E63" s="12">
        <v>1.0</v>
      </c>
      <c r="F63" s="13">
        <v>5.0</v>
      </c>
      <c r="G63" s="39" t="s">
        <v>84</v>
      </c>
      <c r="H63" s="15"/>
    </row>
    <row r="64">
      <c r="B64" s="40" t="s">
        <v>85</v>
      </c>
      <c r="C64" s="27"/>
      <c r="D64" s="25"/>
      <c r="E64" s="41"/>
      <c r="F64" s="42">
        <f>0.6 + (0.01*(SUMPRODUCT(E51:E63,F51:F63)))</f>
        <v>1.3</v>
      </c>
      <c r="G64" s="43"/>
      <c r="H64" s="28"/>
    </row>
    <row r="66">
      <c r="B66" s="2" t="s">
        <v>86</v>
      </c>
    </row>
    <row r="68">
      <c r="B68" s="44" t="s">
        <v>87</v>
      </c>
      <c r="C68" s="4"/>
      <c r="D68" s="4"/>
      <c r="E68" s="4"/>
      <c r="F68" s="4"/>
      <c r="G68" s="4"/>
      <c r="H68" s="8"/>
    </row>
    <row r="69">
      <c r="B69" s="45" t="s">
        <v>88</v>
      </c>
      <c r="C69" s="17"/>
      <c r="D69" s="46" t="s">
        <v>103</v>
      </c>
      <c r="E69" s="17"/>
      <c r="F69" s="17"/>
      <c r="G69" s="11"/>
      <c r="H69" s="47">
        <f>F64</f>
        <v>1.3</v>
      </c>
    </row>
    <row r="70">
      <c r="B70" s="45" t="s">
        <v>90</v>
      </c>
      <c r="C70" s="17"/>
      <c r="D70" s="46" t="s">
        <v>104</v>
      </c>
      <c r="E70" s="17"/>
      <c r="F70" s="17"/>
      <c r="G70" s="11"/>
      <c r="H70" s="48">
        <f>F46</f>
        <v>1.7</v>
      </c>
    </row>
    <row r="71">
      <c r="B71" s="45" t="s">
        <v>92</v>
      </c>
      <c r="C71" s="17"/>
      <c r="D71" s="46" t="s">
        <v>105</v>
      </c>
      <c r="E71" s="17"/>
      <c r="F71" s="17"/>
      <c r="G71" s="11"/>
      <c r="H71" s="47">
        <f>F22</f>
        <v>60</v>
      </c>
    </row>
    <row r="72">
      <c r="B72" s="45" t="s">
        <v>94</v>
      </c>
      <c r="C72" s="17"/>
      <c r="D72" s="46" t="s">
        <v>106</v>
      </c>
      <c r="E72" s="17"/>
      <c r="F72" s="17"/>
      <c r="G72" s="11"/>
      <c r="H72" s="47">
        <f>F10</f>
        <v>8</v>
      </c>
    </row>
    <row r="73">
      <c r="B73" s="49" t="s">
        <v>96</v>
      </c>
      <c r="C73" s="17"/>
      <c r="D73" s="17"/>
      <c r="E73" s="17"/>
      <c r="F73" s="17"/>
      <c r="G73" s="17"/>
      <c r="H73" s="15"/>
    </row>
    <row r="74">
      <c r="B74" s="45" t="s">
        <v>97</v>
      </c>
      <c r="C74" s="17"/>
      <c r="D74" s="46" t="s">
        <v>98</v>
      </c>
      <c r="E74" s="17"/>
      <c r="F74" s="17"/>
      <c r="G74" s="11"/>
      <c r="H74" s="50">
        <f>(H72+H71)*H70*H69</f>
        <v>150.28</v>
      </c>
    </row>
    <row r="75">
      <c r="B75" s="49" t="s">
        <v>99</v>
      </c>
      <c r="C75" s="17"/>
      <c r="D75" s="17"/>
      <c r="E75" s="17"/>
      <c r="F75" s="17"/>
      <c r="G75" s="17"/>
      <c r="H75" s="15"/>
    </row>
    <row r="76">
      <c r="B76" s="45" t="s">
        <v>100</v>
      </c>
      <c r="C76" s="17"/>
      <c r="D76" s="46" t="s">
        <v>101</v>
      </c>
      <c r="E76" s="17"/>
      <c r="F76" s="17"/>
      <c r="G76" s="11"/>
      <c r="H76" s="47">
        <v>28.0</v>
      </c>
    </row>
    <row r="77">
      <c r="B77" s="51"/>
      <c r="C77" s="17"/>
      <c r="D77" s="17"/>
      <c r="E77" s="17"/>
      <c r="F77" s="17"/>
      <c r="G77" s="17"/>
      <c r="H77" s="15"/>
    </row>
    <row r="78" ht="25.5" customHeight="1">
      <c r="B78" s="52" t="s">
        <v>102</v>
      </c>
      <c r="C78" s="27"/>
      <c r="D78" s="27"/>
      <c r="E78" s="27"/>
      <c r="F78" s="27"/>
      <c r="G78" s="25"/>
      <c r="H78" s="53">
        <f>H76*H74</f>
        <v>4207.84</v>
      </c>
    </row>
    <row r="81">
      <c r="F81" s="54">
        <v>4000000.0</v>
      </c>
      <c r="G81" s="55">
        <f>48*4.33</f>
        <v>207.84</v>
      </c>
      <c r="H81" s="55">
        <f>F81/G81</f>
        <v>19245.57352</v>
      </c>
      <c r="I81" s="55">
        <f>H81*1.65</f>
        <v>31755.1963</v>
      </c>
    </row>
    <row r="83">
      <c r="I83" s="55">
        <f>H78*I81</f>
        <v>133620785.2</v>
      </c>
    </row>
  </sheetData>
  <mergeCells count="123">
    <mergeCell ref="F32:H32"/>
    <mergeCell ref="F33:H33"/>
    <mergeCell ref="F25:H25"/>
    <mergeCell ref="F26:H26"/>
    <mergeCell ref="F27:H27"/>
    <mergeCell ref="F28:H28"/>
    <mergeCell ref="F29:H29"/>
    <mergeCell ref="F30:H30"/>
    <mergeCell ref="F31:H31"/>
    <mergeCell ref="G38:H38"/>
    <mergeCell ref="G39:H39"/>
    <mergeCell ref="C32:D32"/>
    <mergeCell ref="C33:D33"/>
    <mergeCell ref="B35:H35"/>
    <mergeCell ref="B37:D37"/>
    <mergeCell ref="G37:H37"/>
    <mergeCell ref="C38:D38"/>
    <mergeCell ref="C39:D39"/>
    <mergeCell ref="C43:D43"/>
    <mergeCell ref="C44:D44"/>
    <mergeCell ref="C45:D45"/>
    <mergeCell ref="C40:D40"/>
    <mergeCell ref="G40:H40"/>
    <mergeCell ref="C41:D41"/>
    <mergeCell ref="G41:H41"/>
    <mergeCell ref="C42:D42"/>
    <mergeCell ref="G42:H42"/>
    <mergeCell ref="G43:H43"/>
    <mergeCell ref="G50:H50"/>
    <mergeCell ref="G51:H51"/>
    <mergeCell ref="G44:H44"/>
    <mergeCell ref="G45:H45"/>
    <mergeCell ref="B46:D46"/>
    <mergeCell ref="G46:H46"/>
    <mergeCell ref="B48:H48"/>
    <mergeCell ref="B50:D50"/>
    <mergeCell ref="C51:D51"/>
    <mergeCell ref="C52:D52"/>
    <mergeCell ref="G52:H52"/>
    <mergeCell ref="C53:D53"/>
    <mergeCell ref="G53:H53"/>
    <mergeCell ref="C54:D54"/>
    <mergeCell ref="G54:H54"/>
    <mergeCell ref="G55:H55"/>
    <mergeCell ref="G59:H59"/>
    <mergeCell ref="G60:H60"/>
    <mergeCell ref="C55:D55"/>
    <mergeCell ref="C56:D56"/>
    <mergeCell ref="C57:D57"/>
    <mergeCell ref="C58:D58"/>
    <mergeCell ref="G58:H58"/>
    <mergeCell ref="C59:D59"/>
    <mergeCell ref="C60:D60"/>
    <mergeCell ref="C61:D61"/>
    <mergeCell ref="G61:H61"/>
    <mergeCell ref="C62:D62"/>
    <mergeCell ref="G62:H62"/>
    <mergeCell ref="C63:D63"/>
    <mergeCell ref="G63:H63"/>
    <mergeCell ref="G64:H64"/>
    <mergeCell ref="B64:D64"/>
    <mergeCell ref="B66:H66"/>
    <mergeCell ref="B68:H68"/>
    <mergeCell ref="B69:C69"/>
    <mergeCell ref="D69:G69"/>
    <mergeCell ref="B70:C70"/>
    <mergeCell ref="D70:G70"/>
    <mergeCell ref="B74:C74"/>
    <mergeCell ref="B76:C76"/>
    <mergeCell ref="D76:G76"/>
    <mergeCell ref="B77:H77"/>
    <mergeCell ref="B78:G78"/>
    <mergeCell ref="B71:C71"/>
    <mergeCell ref="D71:G71"/>
    <mergeCell ref="B72:C72"/>
    <mergeCell ref="D72:G72"/>
    <mergeCell ref="B73:H73"/>
    <mergeCell ref="D74:G74"/>
    <mergeCell ref="B75:H75"/>
    <mergeCell ref="B2:H2"/>
    <mergeCell ref="B4:H4"/>
    <mergeCell ref="B6:D6"/>
    <mergeCell ref="G6:H6"/>
    <mergeCell ref="C7:D7"/>
    <mergeCell ref="G7:H7"/>
    <mergeCell ref="G8:H8"/>
    <mergeCell ref="C8:D8"/>
    <mergeCell ref="C9:D9"/>
    <mergeCell ref="B10:D10"/>
    <mergeCell ref="B11:D11"/>
    <mergeCell ref="C12:D12"/>
    <mergeCell ref="C13:D13"/>
    <mergeCell ref="C14:D14"/>
    <mergeCell ref="G9:H9"/>
    <mergeCell ref="G10:H10"/>
    <mergeCell ref="F11:H11"/>
    <mergeCell ref="F12:H12"/>
    <mergeCell ref="F13:H13"/>
    <mergeCell ref="F14:H14"/>
    <mergeCell ref="B16:H16"/>
    <mergeCell ref="B18:D18"/>
    <mergeCell ref="C19:D19"/>
    <mergeCell ref="C20:D20"/>
    <mergeCell ref="C21:D21"/>
    <mergeCell ref="B22:D22"/>
    <mergeCell ref="B23:D23"/>
    <mergeCell ref="C24:D24"/>
    <mergeCell ref="G18:H18"/>
    <mergeCell ref="G19:H19"/>
    <mergeCell ref="G20:H20"/>
    <mergeCell ref="G21:H21"/>
    <mergeCell ref="G22:H22"/>
    <mergeCell ref="F23:H23"/>
    <mergeCell ref="F24:H24"/>
    <mergeCell ref="C25:D25"/>
    <mergeCell ref="C26:D26"/>
    <mergeCell ref="C27:D27"/>
    <mergeCell ref="C28:D28"/>
    <mergeCell ref="C29:D29"/>
    <mergeCell ref="C30:D30"/>
    <mergeCell ref="C31:D31"/>
    <mergeCell ref="G56:H56"/>
    <mergeCell ref="G57:H57"/>
  </mergeCells>
  <drawing r:id="rId1"/>
</worksheet>
</file>